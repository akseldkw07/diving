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Akseldkw/Desktop/Aksel/Diving/Huracan/"/>
    </mc:Choice>
  </mc:AlternateContent>
  <xr:revisionPtr revIDLastSave="0" documentId="13_ncr:1_{CD524E07-6C4E-A049-9F79-00635C1A9ECA}" xr6:coauthVersionLast="47" xr6:coauthVersionMax="47" xr10:uidLastSave="{00000000-0000-0000-0000-000000000000}"/>
  <bookViews>
    <workbookView xWindow="0" yWindow="760" windowWidth="29040" windowHeight="15840" tabRatio="500" xr2:uid="{00000000-000D-0000-FFFF-FFFF00000000}"/>
  </bookViews>
  <sheets>
    <sheet name="Sheet1" sheetId="1" r:id="rId1"/>
  </sheets>
  <definedNames>
    <definedName name="_xlnm.Print_Area" localSheetId="0">Sheet1!$A$1:$F$47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V24" i="1" l="1"/>
  <c r="Q17" i="1"/>
  <c r="L17" i="1"/>
  <c r="P17" i="1"/>
  <c r="N17" i="1"/>
  <c r="N24" i="1"/>
  <c r="N25" i="1"/>
  <c r="N26" i="1"/>
  <c r="P24" i="1"/>
  <c r="P25" i="1"/>
  <c r="P26" i="1"/>
  <c r="L24" i="1"/>
  <c r="L25" i="1"/>
  <c r="L26" i="1"/>
  <c r="Q24" i="1"/>
  <c r="Q25" i="1"/>
  <c r="Q26" i="1"/>
  <c r="T26" i="1"/>
  <c r="T27" i="1"/>
  <c r="T18" i="1"/>
  <c r="T19" i="1"/>
  <c r="T20" i="1"/>
  <c r="T21" i="1"/>
  <c r="T22" i="1"/>
  <c r="T23" i="1"/>
  <c r="T24" i="1"/>
  <c r="T25" i="1"/>
  <c r="M27" i="1"/>
  <c r="N27" i="1"/>
  <c r="O27" i="1"/>
  <c r="P27" i="1"/>
  <c r="Q27" i="1"/>
  <c r="L27" i="1"/>
  <c r="M26" i="1"/>
  <c r="O26" i="1"/>
  <c r="M25" i="1"/>
  <c r="O25" i="1"/>
  <c r="M24" i="1"/>
  <c r="O24" i="1"/>
  <c r="T30" i="1"/>
  <c r="M17" i="1"/>
  <c r="O17" i="1"/>
  <c r="H35" i="1"/>
  <c r="T17" i="1"/>
  <c r="F17" i="1"/>
  <c r="F18" i="1"/>
  <c r="F22" i="1"/>
  <c r="F28" i="1"/>
  <c r="G31" i="1"/>
  <c r="I17" i="1"/>
  <c r="I27" i="1"/>
  <c r="H26" i="1"/>
  <c r="I26" i="1"/>
  <c r="I25" i="1"/>
  <c r="I24" i="1"/>
  <c r="I28" i="1"/>
  <c r="H19" i="1"/>
  <c r="I19" i="1"/>
  <c r="H20" i="1"/>
  <c r="I20" i="1"/>
  <c r="H21" i="1"/>
  <c r="I21" i="1"/>
  <c r="I18" i="1"/>
  <c r="I22" i="1"/>
  <c r="I23" i="1"/>
  <c r="I30" i="1"/>
  <c r="F30" i="1"/>
  <c r="F33" i="1"/>
  <c r="H25" i="1"/>
  <c r="H18" i="1"/>
  <c r="H22" i="1"/>
  <c r="H23" i="1"/>
  <c r="H24" i="1"/>
  <c r="H17" i="1"/>
  <c r="F37" i="1"/>
  <c r="H28" i="1"/>
  <c r="H27" i="1"/>
  <c r="K20" i="1"/>
  <c r="K21" i="1"/>
  <c r="K19" i="1"/>
</calcChain>
</file>

<file path=xl/sharedStrings.xml><?xml version="1.0" encoding="utf-8"?>
<sst xmlns="http://schemas.openxmlformats.org/spreadsheetml/2006/main" count="66" uniqueCount="57">
  <si>
    <t>Huracan Diving Ltd</t>
  </si>
  <si>
    <t>161 Dolphin Trail</t>
  </si>
  <si>
    <t>Long Caye, Lighthouse Reef</t>
  </si>
  <si>
    <t>Belize</t>
  </si>
  <si>
    <t>Invoice</t>
  </si>
  <si>
    <t>Quantity</t>
  </si>
  <si>
    <t>item</t>
  </si>
  <si>
    <t>Description</t>
  </si>
  <si>
    <t>Amount</t>
  </si>
  <si>
    <t>T</t>
  </si>
  <si>
    <t>bd/lodge</t>
  </si>
  <si>
    <t>$120/day</t>
  </si>
  <si>
    <t>dive</t>
  </si>
  <si>
    <t>15 dive package</t>
  </si>
  <si>
    <t>transfer</t>
  </si>
  <si>
    <t>Transfer BZ/LC/BZ $100 each portion</t>
  </si>
  <si>
    <t>Dive 7 day</t>
  </si>
  <si>
    <t>Total</t>
  </si>
  <si>
    <t>Tax</t>
  </si>
  <si>
    <t>Price unit US</t>
  </si>
  <si>
    <t>Extra dives @ $50us/dive</t>
  </si>
  <si>
    <t>Tax 12.5%</t>
  </si>
  <si>
    <t xml:space="preserve">Thank you for choosing Huracan Diving! Please don't forget to sign our Guest book, "like" us on Facebook,  or even leave a revew on TripAdvisor, we very much appreciate it! Please accept a 10% discount on your next visit, alone or with friends ... Make a party of it!! </t>
  </si>
  <si>
    <t>Blue Hole</t>
  </si>
  <si>
    <t>Half Moon Caye</t>
  </si>
  <si>
    <t>N</t>
  </si>
  <si>
    <t>Balance Total USD</t>
  </si>
  <si>
    <t>Date</t>
  </si>
  <si>
    <t>TAX 12.5%</t>
  </si>
  <si>
    <t>Bill to:</t>
  </si>
  <si>
    <t>Less Deposit Paid</t>
  </si>
  <si>
    <t>Extra Dive</t>
  </si>
  <si>
    <t>Invoice No.</t>
  </si>
  <si>
    <t>USA</t>
  </si>
  <si>
    <t xml:space="preserve"> August 16-23 , 2025 </t>
  </si>
  <si>
    <t>Aksel Kreitzinger, James , Family &amp; friends</t>
  </si>
  <si>
    <t>New York, NY 10016</t>
  </si>
  <si>
    <t xml:space="preserve">7 Nights Dive Package </t>
  </si>
  <si>
    <t xml:space="preserve">4 Nights package </t>
  </si>
  <si>
    <t>Equipment rental (4×6=24x50)</t>
  </si>
  <si>
    <t>Aksel</t>
  </si>
  <si>
    <t>Ian</t>
  </si>
  <si>
    <t>James</t>
  </si>
  <si>
    <t>Nicole</t>
  </si>
  <si>
    <t>Maxxipad</t>
  </si>
  <si>
    <t>Thomas</t>
  </si>
  <si>
    <t>SUM</t>
  </si>
  <si>
    <t>No Tax</t>
  </si>
  <si>
    <t>Remainder (minus deposit)</t>
  </si>
  <si>
    <t>Zelle Max</t>
  </si>
  <si>
    <t>Zelle Limit</t>
  </si>
  <si>
    <t>20% tip</t>
  </si>
  <si>
    <t>Total w/ tax &amp; tip</t>
  </si>
  <si>
    <t>Tax Total</t>
  </si>
  <si>
    <t>Tip Total</t>
  </si>
  <si>
    <t>Total w/t&amp;t</t>
  </si>
  <si>
    <t>Total less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</si>
</sst>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;[Red]\-&quot;£&quot;#,##0.00"/>
    <numFmt numFmtId="165" formatCode="[$$-409]#,##0.00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iner Hand ITC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7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2" fillId="0" borderId="0" xfId="0" applyFont="1" applyAlignment="1">
      <alignment horizontal="right"/>
    </xf>
    <xf numFmtId="0" fontId="0" fillId="0" borderId="2" xfId="0" applyBorder="1"/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165" fontId="0" fillId="0" borderId="2" xfId="0" applyNumberFormat="1" applyBorder="1"/>
    <xf numFmtId="0" fontId="0" fillId="0" borderId="2" xfId="0" applyBorder="1" applyAlignment="1">
      <alignment horizontal="left" wrapText="1"/>
    </xf>
    <xf numFmtId="0" fontId="3" fillId="0" borderId="2" xfId="0" applyFont="1" applyBorder="1"/>
    <xf numFmtId="0" fontId="4" fillId="0" borderId="2" xfId="0" applyFont="1" applyBorder="1" applyAlignment="1">
      <alignment horizontal="right"/>
    </xf>
    <xf numFmtId="165" fontId="4" fillId="0" borderId="2" xfId="0" applyNumberFormat="1" applyFont="1" applyBorder="1"/>
    <xf numFmtId="0" fontId="3" fillId="0" borderId="0" xfId="0" applyFont="1"/>
    <xf numFmtId="0" fontId="3" fillId="0" borderId="3" xfId="0" applyFont="1" applyBorder="1"/>
    <xf numFmtId="0" fontId="4" fillId="0" borderId="3" xfId="0" applyFont="1" applyBorder="1" applyAlignment="1">
      <alignment horizontal="right"/>
    </xf>
    <xf numFmtId="165" fontId="4" fillId="0" borderId="3" xfId="0" applyNumberFormat="1" applyFont="1" applyBorder="1"/>
    <xf numFmtId="0" fontId="0" fillId="0" borderId="2" xfId="0" applyBorder="1" applyAlignment="1">
      <alignment vertical="top"/>
    </xf>
    <xf numFmtId="164" fontId="0" fillId="0" borderId="0" xfId="0" applyNumberFormat="1" applyAlignment="1">
      <alignment horizontal="right"/>
    </xf>
    <xf numFmtId="15" fontId="0" fillId="0" borderId="0" xfId="0" applyNumberFormat="1" applyAlignment="1">
      <alignment horizontal="right"/>
    </xf>
    <xf numFmtId="0" fontId="8" fillId="0" borderId="2" xfId="0" applyFont="1" applyBorder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/>
    <xf numFmtId="0" fontId="5" fillId="0" borderId="0" xfId="0" applyFont="1" applyAlignment="1">
      <alignment horizontal="right" wrapText="1"/>
    </xf>
    <xf numFmtId="0" fontId="0" fillId="0" borderId="1" xfId="0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/>
    <xf numFmtId="165" fontId="10" fillId="0" borderId="2" xfId="0" applyNumberFormat="1" applyFont="1" applyBorder="1"/>
    <xf numFmtId="0" fontId="8" fillId="0" borderId="2" xfId="0" applyFont="1" applyBorder="1" applyAlignment="1">
      <alignment horizontal="left"/>
    </xf>
    <xf numFmtId="0" fontId="0" fillId="2" borderId="0" xfId="0" applyFill="1"/>
    <xf numFmtId="165" fontId="0" fillId="2" borderId="0" xfId="0" applyNumberFormat="1" applyFill="1"/>
    <xf numFmtId="165" fontId="0" fillId="0" borderId="5" xfId="0" applyNumberFormat="1" applyBorder="1"/>
    <xf numFmtId="0" fontId="5" fillId="0" borderId="0" xfId="0" applyFont="1" applyAlignment="1">
      <alignment horizontal="right" vertical="center" wrapText="1"/>
    </xf>
  </cellXfs>
  <cellStyles count="57">
    <cellStyle name="Followed Hyperlink" xfId="46" builtinId="9" hidden="1"/>
    <cellStyle name="Followed Hyperlink" xfId="10" builtinId="9" hidden="1"/>
    <cellStyle name="Followed Hyperlink" xfId="8" builtinId="9" hidden="1"/>
    <cellStyle name="Followed Hyperlink" xfId="14" builtinId="9" hidden="1"/>
    <cellStyle name="Followed Hyperlink" xfId="36" builtinId="9" hidden="1"/>
    <cellStyle name="Followed Hyperlink" xfId="56" builtinId="9" hidden="1"/>
    <cellStyle name="Followed Hyperlink" xfId="4" builtinId="9" hidden="1"/>
    <cellStyle name="Followed Hyperlink" xfId="42" builtinId="9" hidden="1"/>
    <cellStyle name="Followed Hyperlink" xfId="44" builtinId="9" hidden="1"/>
    <cellStyle name="Followed Hyperlink" xfId="28" builtinId="9" hidden="1"/>
    <cellStyle name="Followed Hyperlink" xfId="24" builtinId="9" hidden="1"/>
    <cellStyle name="Followed Hyperlink" xfId="20" builtinId="9" hidden="1"/>
    <cellStyle name="Followed Hyperlink" xfId="34" builtinId="9" hidden="1"/>
    <cellStyle name="Followed Hyperlink" xfId="32" builtinId="9" hidden="1"/>
    <cellStyle name="Followed Hyperlink" xfId="50" builtinId="9" hidden="1"/>
    <cellStyle name="Followed Hyperlink" xfId="40" builtinId="9" hidden="1"/>
    <cellStyle name="Followed Hyperlink" xfId="22" builtinId="9" hidden="1"/>
    <cellStyle name="Followed Hyperlink" xfId="2" builtinId="9" hidden="1"/>
    <cellStyle name="Followed Hyperlink" xfId="12" builtinId="9" hidden="1"/>
    <cellStyle name="Followed Hyperlink" xfId="26" builtinId="9" hidden="1"/>
    <cellStyle name="Followed Hyperlink" xfId="16" builtinId="9" hidden="1"/>
    <cellStyle name="Followed Hyperlink" xfId="18" builtinId="9" hidden="1"/>
    <cellStyle name="Followed Hyperlink" xfId="6" builtinId="9" hidden="1"/>
    <cellStyle name="Followed Hyperlink" xfId="54" builtinId="9" hidden="1"/>
    <cellStyle name="Followed Hyperlink" xfId="52" builtinId="9" hidden="1"/>
    <cellStyle name="Followed Hyperlink" xfId="48" builtinId="9" hidden="1"/>
    <cellStyle name="Followed Hyperlink" xfId="38" builtinId="9" hidden="1"/>
    <cellStyle name="Followed Hyperlink" xfId="30" builtinId="9" hidden="1"/>
    <cellStyle name="Hyperlink" xfId="51" builtinId="8" hidden="1"/>
    <cellStyle name="Hyperlink" xfId="39" builtinId="8" hidden="1"/>
    <cellStyle name="Hyperlink" xfId="27" builtinId="8" hidden="1"/>
    <cellStyle name="Hyperlink" xfId="49" builtinId="8" hidden="1"/>
    <cellStyle name="Hyperlink" xfId="43" builtinId="8" hidden="1"/>
    <cellStyle name="Hyperlink" xfId="31" builtinId="8" hidden="1"/>
    <cellStyle name="Hyperlink" xfId="47" builtinId="8" hidden="1"/>
    <cellStyle name="Hyperlink" xfId="53" builtinId="8" hidden="1"/>
    <cellStyle name="Hyperlink" xfId="55" builtinId="8" hidden="1"/>
    <cellStyle name="Hyperlink" xfId="3" builtinId="8" hidden="1"/>
    <cellStyle name="Hyperlink" xfId="1" builtinId="8" hidden="1"/>
    <cellStyle name="Hyperlink" xfId="45" builtinId="8" hidden="1"/>
    <cellStyle name="Hyperlink" xfId="17" builtinId="8" hidden="1"/>
    <cellStyle name="Hyperlink" xfId="41" builtinId="8" hidden="1"/>
    <cellStyle name="Hyperlink" xfId="29" builtinId="8" hidden="1"/>
    <cellStyle name="Hyperlink" xfId="21" builtinId="8" hidden="1"/>
    <cellStyle name="Hyperlink" xfId="15" builtinId="8" hidden="1"/>
    <cellStyle name="Hyperlink" xfId="19" builtinId="8" hidden="1"/>
    <cellStyle name="Hyperlink" xfId="35" builtinId="8" hidden="1"/>
    <cellStyle name="Hyperlink" xfId="25" builtinId="8" hidden="1"/>
    <cellStyle name="Hyperlink" xfId="23" builtinId="8" hidden="1"/>
    <cellStyle name="Hyperlink" xfId="13" builtinId="8" hidden="1"/>
    <cellStyle name="Hyperlink" xfId="7" builtinId="8" hidden="1"/>
    <cellStyle name="Hyperlink" xfId="9" builtinId="8" hidden="1"/>
    <cellStyle name="Hyperlink" xfId="5" builtinId="8" hidden="1"/>
    <cellStyle name="Hyperlink" xfId="37" builtinId="8" hidden="1"/>
    <cellStyle name="Hyperlink" xfId="33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135467</xdr:rowOff>
    </xdr:from>
    <xdr:to>
      <xdr:col>2</xdr:col>
      <xdr:colOff>1473199</xdr:colOff>
      <xdr:row>6</xdr:row>
      <xdr:rowOff>16269</xdr:rowOff>
    </xdr:to>
    <xdr:pic>
      <xdr:nvPicPr>
        <xdr:cNvPr id="2" name="Picture 1" descr="huracan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0200"/>
          <a:ext cx="2404532" cy="13201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12700</xdr:rowOff>
    </xdr:from>
    <xdr:to>
      <xdr:col>2</xdr:col>
      <xdr:colOff>105833</xdr:colOff>
      <xdr:row>46</xdr:row>
      <xdr:rowOff>118782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1D2C18-AF09-4B91-BFD4-A2CE9A7F4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0200"/>
          <a:ext cx="1032933" cy="1122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V41"/>
  <sheetViews>
    <sheetView showGridLines="0" tabSelected="1" showRuler="0" zoomScale="160" zoomScaleNormal="150" zoomScalePageLayoutView="150" workbookViewId="0">
      <selection activeCell="G9" sqref="G9"/>
    </sheetView>
  </sheetViews>
  <sheetFormatPr baseColWidth="10" defaultColWidth="11" defaultRowHeight="16" x14ac:dyDescent="0.2"/>
  <cols>
    <col min="1" max="1" width="12" customWidth="1"/>
    <col min="2" max="2" width="14.1640625" hidden="1" customWidth="1"/>
    <col min="3" max="3" width="35.6640625" style="1" bestFit="1" customWidth="1"/>
    <col min="4" max="4" width="15.1640625" bestFit="1" customWidth="1"/>
    <col min="5" max="5" width="3.33203125" style="27" customWidth="1"/>
    <col min="6" max="6" width="15" customWidth="1"/>
    <col min="7" max="7" width="11" bestFit="1" customWidth="1"/>
    <col min="11" max="11" width="21.6640625" customWidth="1"/>
  </cols>
  <sheetData>
    <row r="4" spans="1:20" ht="52" customHeight="1" x14ac:dyDescent="0.65">
      <c r="F4" s="3" t="s">
        <v>4</v>
      </c>
    </row>
    <row r="5" spans="1:20" ht="15" customHeight="1" x14ac:dyDescent="0.65">
      <c r="F5" s="3"/>
    </row>
    <row r="6" spans="1:20" ht="15" x14ac:dyDescent="0.2">
      <c r="A6" t="s">
        <v>0</v>
      </c>
      <c r="D6" s="1" t="s">
        <v>27</v>
      </c>
      <c r="F6" s="18" t="s">
        <v>32</v>
      </c>
    </row>
    <row r="7" spans="1:20" ht="15" x14ac:dyDescent="0.2">
      <c r="A7" t="s">
        <v>1</v>
      </c>
      <c r="D7" s="19" t="s">
        <v>34</v>
      </c>
      <c r="E7" s="28"/>
      <c r="F7">
        <v>147766</v>
      </c>
    </row>
    <row r="8" spans="1:20" ht="15" x14ac:dyDescent="0.2">
      <c r="A8" t="s">
        <v>2</v>
      </c>
    </row>
    <row r="9" spans="1:20" ht="15" x14ac:dyDescent="0.2">
      <c r="A9" t="s">
        <v>3</v>
      </c>
    </row>
    <row r="10" spans="1:20" ht="15" x14ac:dyDescent="0.2"/>
    <row r="11" spans="1:20" ht="15" x14ac:dyDescent="0.2">
      <c r="A11" t="s">
        <v>29</v>
      </c>
      <c r="C11"/>
      <c r="D11" s="1"/>
    </row>
    <row r="12" spans="1:20" ht="15" x14ac:dyDescent="0.2">
      <c r="A12" t="s">
        <v>35</v>
      </c>
      <c r="C12"/>
      <c r="D12" s="1"/>
    </row>
    <row r="13" spans="1:20" ht="15" x14ac:dyDescent="0.2">
      <c r="A13" t="s">
        <v>36</v>
      </c>
      <c r="D13" s="1"/>
    </row>
    <row r="14" spans="1:20" ht="15" x14ac:dyDescent="0.2">
      <c r="A14" t="s">
        <v>33</v>
      </c>
    </row>
    <row r="15" spans="1:20" s="25" customFormat="1" ht="15" x14ac:dyDescent="0.2">
      <c r="A15" s="24" t="s">
        <v>5</v>
      </c>
      <c r="B15" s="2" t="s">
        <v>6</v>
      </c>
      <c r="C15" s="2" t="s">
        <v>7</v>
      </c>
      <c r="D15" s="2" t="s">
        <v>19</v>
      </c>
      <c r="E15" s="29" t="s">
        <v>18</v>
      </c>
      <c r="F15" s="2" t="s">
        <v>8</v>
      </c>
      <c r="I15" s="26" t="s">
        <v>28</v>
      </c>
    </row>
    <row r="16" spans="1:20" ht="15" x14ac:dyDescent="0.2">
      <c r="A16" s="4"/>
      <c r="B16" s="4"/>
      <c r="C16" s="7"/>
      <c r="D16" s="4"/>
      <c r="E16" s="30"/>
      <c r="F16" s="4"/>
      <c r="K16" s="41"/>
      <c r="L16" s="41" t="s">
        <v>40</v>
      </c>
      <c r="M16" s="41" t="s">
        <v>41</v>
      </c>
      <c r="N16" s="41" t="s">
        <v>42</v>
      </c>
      <c r="O16" s="41" t="s">
        <v>43</v>
      </c>
      <c r="P16" s="41" t="s">
        <v>44</v>
      </c>
      <c r="Q16" s="41" t="s">
        <v>45</v>
      </c>
      <c r="R16" s="41"/>
      <c r="S16" s="41"/>
      <c r="T16" s="41" t="s">
        <v>46</v>
      </c>
    </row>
    <row r="17" spans="1:22" ht="15" x14ac:dyDescent="0.2">
      <c r="A17" s="4">
        <v>5</v>
      </c>
      <c r="B17" s="4"/>
      <c r="C17" s="6" t="s">
        <v>37</v>
      </c>
      <c r="D17" s="8">
        <v>2500</v>
      </c>
      <c r="E17" s="30" t="s">
        <v>9</v>
      </c>
      <c r="F17" s="8">
        <f>D17*A17</f>
        <v>12500</v>
      </c>
      <c r="H17" s="5">
        <f>F17</f>
        <v>12500</v>
      </c>
      <c r="I17" s="5">
        <f>F17*12.5%</f>
        <v>1562.5</v>
      </c>
      <c r="K17" s="41" t="s">
        <v>17</v>
      </c>
      <c r="L17" s="41">
        <f>2500 + 75 + 2*10 + 12</f>
        <v>2607</v>
      </c>
      <c r="M17" s="41">
        <f>2500 + 75 + 2*10 + 6*50</f>
        <v>2895</v>
      </c>
      <c r="N17" s="41">
        <f>1900 + 10 + 75</f>
        <v>1985</v>
      </c>
      <c r="O17" s="41">
        <f>2500 + 2*10 + 6*50</f>
        <v>2820</v>
      </c>
      <c r="P17" s="41">
        <f>2500 + 75 + 2*10 + 6*50 + 210</f>
        <v>3105</v>
      </c>
      <c r="Q17" s="41">
        <f>2500 + 75 + 2*10 + 6*50 + 66</f>
        <v>2961</v>
      </c>
      <c r="R17" s="41"/>
      <c r="S17" s="41" t="s">
        <v>47</v>
      </c>
      <c r="T17" s="41">
        <f>SUM(L17:Q17)</f>
        <v>16373</v>
      </c>
    </row>
    <row r="18" spans="1:22" ht="15" hidden="1" customHeight="1" x14ac:dyDescent="0.2">
      <c r="A18" s="17"/>
      <c r="B18" s="4" t="s">
        <v>16</v>
      </c>
      <c r="C18" s="9"/>
      <c r="D18" s="8">
        <v>0</v>
      </c>
      <c r="E18" s="31" t="s">
        <v>9</v>
      </c>
      <c r="F18" s="8">
        <f>SUM(D18*A18)</f>
        <v>0</v>
      </c>
      <c r="H18" s="5">
        <f t="shared" ref="H18:H24" si="0">F18</f>
        <v>0</v>
      </c>
      <c r="I18" s="5">
        <f>F18*0.125</f>
        <v>0</v>
      </c>
      <c r="K18" s="41"/>
      <c r="L18" s="42"/>
      <c r="M18" s="41"/>
      <c r="N18" s="41"/>
      <c r="O18" s="41"/>
      <c r="P18" s="41"/>
      <c r="Q18" s="41"/>
      <c r="R18" s="41"/>
      <c r="S18" s="41"/>
      <c r="T18" s="41">
        <f t="shared" ref="T18:T26" si="1">SUM(L18:Q18)</f>
        <v>0</v>
      </c>
    </row>
    <row r="19" spans="1:22" ht="15" hidden="1" customHeight="1" x14ac:dyDescent="0.2">
      <c r="A19" s="4">
        <v>0</v>
      </c>
      <c r="B19" s="4" t="s">
        <v>10</v>
      </c>
      <c r="C19" s="6" t="s">
        <v>11</v>
      </c>
      <c r="D19" s="4"/>
      <c r="E19" s="30"/>
      <c r="F19" s="4"/>
      <c r="G19" s="5">
        <v>120</v>
      </c>
      <c r="H19" s="5">
        <f t="shared" si="0"/>
        <v>0</v>
      </c>
      <c r="I19">
        <f>H19*L19</f>
        <v>0</v>
      </c>
      <c r="K19" s="41">
        <f>H19*0.09</f>
        <v>0</v>
      </c>
      <c r="L19" s="41">
        <v>1.0900000000000001</v>
      </c>
      <c r="M19" s="41"/>
      <c r="N19" s="41"/>
      <c r="O19" s="41"/>
      <c r="P19" s="41"/>
      <c r="Q19" s="41"/>
      <c r="R19" s="41"/>
      <c r="S19" s="41"/>
      <c r="T19" s="41">
        <f t="shared" si="1"/>
        <v>1.0900000000000001</v>
      </c>
    </row>
    <row r="20" spans="1:22" ht="15" hidden="1" customHeight="1" x14ac:dyDescent="0.2">
      <c r="A20" s="4">
        <v>0</v>
      </c>
      <c r="B20" s="4" t="s">
        <v>12</v>
      </c>
      <c r="C20" s="6" t="s">
        <v>13</v>
      </c>
      <c r="D20" s="4"/>
      <c r="E20" s="30"/>
      <c r="F20" s="4"/>
      <c r="G20" s="5">
        <v>50</v>
      </c>
      <c r="H20" s="5">
        <f t="shared" si="0"/>
        <v>0</v>
      </c>
      <c r="I20">
        <f>H20*L20</f>
        <v>0</v>
      </c>
      <c r="K20" s="41">
        <f>H20*0.125</f>
        <v>0</v>
      </c>
      <c r="L20" s="41">
        <v>1.125</v>
      </c>
      <c r="M20" s="41"/>
      <c r="N20" s="41"/>
      <c r="O20" s="41"/>
      <c r="P20" s="41"/>
      <c r="Q20" s="41"/>
      <c r="R20" s="41"/>
      <c r="S20" s="41"/>
      <c r="T20" s="41">
        <f t="shared" si="1"/>
        <v>1.125</v>
      </c>
    </row>
    <row r="21" spans="1:22" ht="15" hidden="1" customHeight="1" x14ac:dyDescent="0.2">
      <c r="A21" s="4">
        <v>0</v>
      </c>
      <c r="B21" s="4" t="s">
        <v>14</v>
      </c>
      <c r="C21" s="6" t="s">
        <v>15</v>
      </c>
      <c r="D21" s="4"/>
      <c r="E21" s="30"/>
      <c r="F21" s="4"/>
      <c r="G21" s="5">
        <v>100</v>
      </c>
      <c r="H21" s="5">
        <f t="shared" si="0"/>
        <v>0</v>
      </c>
      <c r="I21">
        <f>H21*L21</f>
        <v>0</v>
      </c>
      <c r="K21" s="41">
        <f>$H21*0.125</f>
        <v>0</v>
      </c>
      <c r="L21" s="41">
        <v>1.125</v>
      </c>
      <c r="M21" s="41"/>
      <c r="N21" s="41"/>
      <c r="O21" s="41"/>
      <c r="P21" s="41"/>
      <c r="Q21" s="41"/>
      <c r="R21" s="41"/>
      <c r="S21" s="41"/>
      <c r="T21" s="41">
        <f t="shared" si="1"/>
        <v>1.125</v>
      </c>
    </row>
    <row r="22" spans="1:22" ht="15" hidden="1" customHeight="1" x14ac:dyDescent="0.2">
      <c r="A22" s="4">
        <v>0</v>
      </c>
      <c r="B22" s="4"/>
      <c r="C22" s="6" t="s">
        <v>20</v>
      </c>
      <c r="D22" s="8">
        <v>50</v>
      </c>
      <c r="E22" s="30" t="s">
        <v>9</v>
      </c>
      <c r="F22" s="8">
        <f>D22*A22</f>
        <v>0</v>
      </c>
      <c r="G22" s="5"/>
      <c r="H22" s="5">
        <f t="shared" si="0"/>
        <v>0</v>
      </c>
      <c r="I22" s="5">
        <f>F22*0.125</f>
        <v>0</v>
      </c>
      <c r="K22" s="41"/>
      <c r="L22" s="41"/>
      <c r="M22" s="41"/>
      <c r="N22" s="41"/>
      <c r="O22" s="41"/>
      <c r="P22" s="41"/>
      <c r="Q22" s="41"/>
      <c r="R22" s="41"/>
      <c r="S22" s="41"/>
      <c r="T22" s="41">
        <f t="shared" si="1"/>
        <v>0</v>
      </c>
    </row>
    <row r="23" spans="1:22" ht="15" hidden="1" customHeight="1" x14ac:dyDescent="0.2">
      <c r="A23" s="4"/>
      <c r="B23" s="4"/>
      <c r="C23" s="6"/>
      <c r="D23" s="8">
        <v>0</v>
      </c>
      <c r="E23" s="30" t="s">
        <v>9</v>
      </c>
      <c r="F23" s="8">
        <v>0</v>
      </c>
      <c r="G23" s="5"/>
      <c r="H23" s="5">
        <f t="shared" si="0"/>
        <v>0</v>
      </c>
      <c r="I23" s="5">
        <f>F23*12.5%</f>
        <v>0</v>
      </c>
      <c r="K23" s="41"/>
      <c r="L23" s="41"/>
      <c r="M23" s="41"/>
      <c r="N23" s="41"/>
      <c r="O23" s="41"/>
      <c r="P23" s="41"/>
      <c r="Q23" s="41"/>
      <c r="R23" s="41"/>
      <c r="S23" s="41"/>
      <c r="T23" s="41">
        <f t="shared" si="1"/>
        <v>0</v>
      </c>
    </row>
    <row r="24" spans="1:22" ht="15" x14ac:dyDescent="0.2">
      <c r="A24" s="4">
        <v>1</v>
      </c>
      <c r="B24" s="4"/>
      <c r="C24" s="40" t="s">
        <v>38</v>
      </c>
      <c r="D24" s="8">
        <v>1900</v>
      </c>
      <c r="E24" s="30" t="s">
        <v>9</v>
      </c>
      <c r="F24" s="8">
        <v>1900</v>
      </c>
      <c r="G24" s="5"/>
      <c r="H24" s="5">
        <f t="shared" si="0"/>
        <v>1900</v>
      </c>
      <c r="I24" s="5">
        <f>SUM(F24*12.5%)</f>
        <v>237.5</v>
      </c>
      <c r="K24" s="41" t="s">
        <v>18</v>
      </c>
      <c r="L24" s="41">
        <f>L17 *12.5%</f>
        <v>325.875</v>
      </c>
      <c r="M24" s="41">
        <f t="shared" ref="M24:Q24" si="2">M17 *12.5%</f>
        <v>361.875</v>
      </c>
      <c r="N24" s="41">
        <f t="shared" si="2"/>
        <v>248.125</v>
      </c>
      <c r="O24" s="41">
        <f t="shared" si="2"/>
        <v>352.5</v>
      </c>
      <c r="P24" s="41">
        <f t="shared" si="2"/>
        <v>388.125</v>
      </c>
      <c r="Q24" s="41">
        <f t="shared" si="2"/>
        <v>370.125</v>
      </c>
      <c r="R24" s="41"/>
      <c r="S24" s="41" t="s">
        <v>53</v>
      </c>
      <c r="T24" s="41">
        <f t="shared" si="1"/>
        <v>2046.625</v>
      </c>
      <c r="V24" s="5">
        <f>T27-14097.5-310.5</f>
        <v>3386.2250000000022</v>
      </c>
    </row>
    <row r="25" spans="1:22" x14ac:dyDescent="0.2">
      <c r="A25" s="4">
        <v>4</v>
      </c>
      <c r="B25" s="4"/>
      <c r="C25" s="40" t="s">
        <v>39</v>
      </c>
      <c r="D25" s="8">
        <v>50</v>
      </c>
      <c r="E25" s="30" t="s">
        <v>9</v>
      </c>
      <c r="F25" s="8">
        <v>1200</v>
      </c>
      <c r="G25" s="5"/>
      <c r="H25" s="5">
        <f>F25</f>
        <v>1200</v>
      </c>
      <c r="I25" s="5">
        <f>SUM(F25*12.5%)</f>
        <v>150</v>
      </c>
      <c r="K25" s="41" t="s">
        <v>51</v>
      </c>
      <c r="L25" s="41">
        <f>L17*20%</f>
        <v>521.4</v>
      </c>
      <c r="M25" s="41">
        <f t="shared" ref="M25:Q25" si="3">M17*20%</f>
        <v>579</v>
      </c>
      <c r="N25" s="41">
        <f t="shared" si="3"/>
        <v>397</v>
      </c>
      <c r="O25" s="41">
        <f t="shared" si="3"/>
        <v>564</v>
      </c>
      <c r="P25" s="41">
        <f t="shared" si="3"/>
        <v>621</v>
      </c>
      <c r="Q25" s="41">
        <f t="shared" si="3"/>
        <v>592.20000000000005</v>
      </c>
      <c r="R25" s="41"/>
      <c r="S25" s="41" t="s">
        <v>54</v>
      </c>
      <c r="T25" s="41">
        <f t="shared" si="1"/>
        <v>3274.6000000000004</v>
      </c>
    </row>
    <row r="26" spans="1:22" ht="15" x14ac:dyDescent="0.2">
      <c r="A26" s="4">
        <v>4</v>
      </c>
      <c r="B26" s="4"/>
      <c r="C26" s="40" t="s">
        <v>31</v>
      </c>
      <c r="D26" s="8">
        <v>75</v>
      </c>
      <c r="E26" s="31" t="s">
        <v>9</v>
      </c>
      <c r="F26" s="8">
        <v>300</v>
      </c>
      <c r="H26" s="5">
        <f>F26</f>
        <v>300</v>
      </c>
      <c r="I26" s="5">
        <f>SUM(H26*12.5%)</f>
        <v>37.5</v>
      </c>
      <c r="K26" s="41" t="s">
        <v>52</v>
      </c>
      <c r="L26" s="41">
        <f>L17+L24+L25</f>
        <v>3454.2750000000001</v>
      </c>
      <c r="M26" s="41">
        <f t="shared" ref="M26:Q26" si="4">M17+M24+M25</f>
        <v>3835.875</v>
      </c>
      <c r="N26" s="41">
        <f t="shared" si="4"/>
        <v>2630.125</v>
      </c>
      <c r="O26" s="41">
        <f t="shared" si="4"/>
        <v>3736.5</v>
      </c>
      <c r="P26" s="41">
        <f t="shared" si="4"/>
        <v>4114.125</v>
      </c>
      <c r="Q26" s="41">
        <f t="shared" si="4"/>
        <v>3923.3249999999998</v>
      </c>
      <c r="R26" s="41"/>
      <c r="S26" s="41" t="s">
        <v>55</v>
      </c>
      <c r="T26" s="41">
        <f t="shared" si="1"/>
        <v>21694.225000000002</v>
      </c>
    </row>
    <row r="27" spans="1:22" ht="15" x14ac:dyDescent="0.2">
      <c r="A27" s="4">
        <v>0</v>
      </c>
      <c r="B27" s="4"/>
      <c r="C27" s="6" t="s">
        <v>23</v>
      </c>
      <c r="D27" s="8">
        <v>30</v>
      </c>
      <c r="E27" s="30" t="s">
        <v>25</v>
      </c>
      <c r="F27" s="8">
        <v>0</v>
      </c>
      <c r="G27" s="5"/>
      <c r="H27" s="5">
        <f>F27*1</f>
        <v>0</v>
      </c>
      <c r="I27" s="5">
        <f>F27*0</f>
        <v>0</v>
      </c>
      <c r="K27" s="41" t="s">
        <v>48</v>
      </c>
      <c r="L27" s="41">
        <f>L26-3900/6</f>
        <v>2804.2750000000001</v>
      </c>
      <c r="M27" s="41">
        <f t="shared" ref="M27:Q27" si="5">M26-3900/6</f>
        <v>3185.875</v>
      </c>
      <c r="N27" s="41">
        <f t="shared" si="5"/>
        <v>1980.125</v>
      </c>
      <c r="O27" s="41">
        <f t="shared" si="5"/>
        <v>3086.5</v>
      </c>
      <c r="P27" s="41">
        <f t="shared" si="5"/>
        <v>3464.125</v>
      </c>
      <c r="Q27" s="41">
        <f t="shared" si="5"/>
        <v>3273.3249999999998</v>
      </c>
      <c r="R27" s="41"/>
      <c r="S27" s="41" t="s">
        <v>56</v>
      </c>
      <c r="T27" s="42">
        <f>T26-F35</f>
        <v>17794.225000000002</v>
      </c>
    </row>
    <row r="28" spans="1:22" ht="15" x14ac:dyDescent="0.2">
      <c r="A28" s="4">
        <v>11</v>
      </c>
      <c r="B28" s="4"/>
      <c r="C28" s="6" t="s">
        <v>24</v>
      </c>
      <c r="D28" s="8">
        <v>10</v>
      </c>
      <c r="E28" s="30" t="s">
        <v>25</v>
      </c>
      <c r="F28" s="8">
        <f>SUM(A28*D28)</f>
        <v>110</v>
      </c>
      <c r="G28" s="5"/>
      <c r="H28" s="5">
        <f>F28*1</f>
        <v>110</v>
      </c>
      <c r="I28" s="5">
        <f>F28*0</f>
        <v>0</v>
      </c>
    </row>
    <row r="29" spans="1:22" ht="15" x14ac:dyDescent="0.2">
      <c r="A29" s="4"/>
      <c r="B29" s="4"/>
      <c r="C29" s="6"/>
      <c r="D29" s="8"/>
      <c r="E29" s="30"/>
      <c r="F29" s="4"/>
      <c r="G29" s="5"/>
      <c r="H29" s="5"/>
      <c r="I29" s="5"/>
    </row>
    <row r="30" spans="1:22" ht="15" x14ac:dyDescent="0.2">
      <c r="A30" s="4"/>
      <c r="B30" s="4"/>
      <c r="C30" s="20" t="s">
        <v>21</v>
      </c>
      <c r="D30" s="4"/>
      <c r="E30" s="30"/>
      <c r="F30" s="8">
        <f>SUM(I30)</f>
        <v>1987.5</v>
      </c>
      <c r="I30" s="5">
        <f>SUM(I17:I28)</f>
        <v>1987.5</v>
      </c>
      <c r="K30" t="s">
        <v>49</v>
      </c>
      <c r="L30">
        <v>2000</v>
      </c>
      <c r="M30">
        <v>3500</v>
      </c>
      <c r="O30">
        <v>5000</v>
      </c>
      <c r="P30">
        <v>2500</v>
      </c>
      <c r="Q30">
        <v>2000</v>
      </c>
      <c r="S30" t="s">
        <v>50</v>
      </c>
      <c r="T30">
        <f>SUM(L30:Q30)</f>
        <v>15000</v>
      </c>
    </row>
    <row r="31" spans="1:22" ht="15" x14ac:dyDescent="0.2">
      <c r="A31" s="4"/>
      <c r="B31" s="4"/>
      <c r="C31" s="6"/>
      <c r="D31" s="4"/>
      <c r="E31" s="30"/>
      <c r="F31" s="8"/>
      <c r="G31" s="43">
        <f>SUM(F17:F28)</f>
        <v>16010</v>
      </c>
    </row>
    <row r="32" spans="1:22" ht="15" x14ac:dyDescent="0.2">
      <c r="A32" s="4"/>
      <c r="B32" s="4"/>
      <c r="C32" s="6"/>
      <c r="D32" s="4"/>
      <c r="E32" s="30"/>
      <c r="F32" s="8"/>
    </row>
    <row r="33" spans="1:8" x14ac:dyDescent="0.2">
      <c r="A33" s="4"/>
      <c r="B33" s="4"/>
      <c r="C33" s="20" t="s">
        <v>17</v>
      </c>
      <c r="D33" s="4"/>
      <c r="E33" s="30"/>
      <c r="F33" s="8">
        <f>SUM(F17:F30)</f>
        <v>17997.5</v>
      </c>
    </row>
    <row r="34" spans="1:8" s="38" customFormat="1" x14ac:dyDescent="0.2">
      <c r="A34" s="36"/>
      <c r="B34" s="36"/>
      <c r="C34" s="20"/>
      <c r="D34" s="36"/>
      <c r="E34" s="37"/>
      <c r="F34" s="39"/>
    </row>
    <row r="35" spans="1:8" x14ac:dyDescent="0.2">
      <c r="A35" s="4"/>
      <c r="B35" s="4"/>
      <c r="C35" s="20" t="s">
        <v>30</v>
      </c>
      <c r="D35" s="4"/>
      <c r="E35" s="30"/>
      <c r="F35" s="8">
        <v>3900</v>
      </c>
      <c r="H35">
        <f>3900/6</f>
        <v>650</v>
      </c>
    </row>
    <row r="36" spans="1:8" ht="24" x14ac:dyDescent="0.3">
      <c r="A36" s="4"/>
      <c r="B36" s="4"/>
      <c r="C36" s="7"/>
      <c r="D36" s="35"/>
      <c r="E36" s="30"/>
      <c r="F36" s="4"/>
    </row>
    <row r="37" spans="1:8" s="13" customFormat="1" ht="24" x14ac:dyDescent="0.3">
      <c r="A37" s="10"/>
      <c r="B37" s="10"/>
      <c r="C37" s="11" t="s">
        <v>26</v>
      </c>
      <c r="D37" s="35"/>
      <c r="E37" s="32"/>
      <c r="F37" s="12">
        <f>SUM(F33-F35)</f>
        <v>14097.5</v>
      </c>
    </row>
    <row r="38" spans="1:8" s="13" customFormat="1" ht="15" x14ac:dyDescent="0.2">
      <c r="A38" s="14"/>
      <c r="B38" s="14"/>
      <c r="C38" s="15"/>
      <c r="D38" s="14"/>
      <c r="E38" s="33"/>
      <c r="F38" s="16"/>
    </row>
    <row r="39" spans="1:8" s="13" customFormat="1" ht="15" hidden="1" x14ac:dyDescent="0.2">
      <c r="C39" s="21"/>
      <c r="E39" s="34"/>
      <c r="F39" s="22"/>
    </row>
    <row r="40" spans="1:8" ht="54" hidden="1" customHeight="1" x14ac:dyDescent="0.4">
      <c r="B40" s="23"/>
      <c r="C40" s="44" t="s">
        <v>22</v>
      </c>
      <c r="D40" s="44"/>
      <c r="E40" s="44"/>
      <c r="F40" s="44"/>
    </row>
    <row r="41" spans="1:8" ht="15" hidden="1" x14ac:dyDescent="0.2"/>
  </sheetData>
  <mergeCells count="1">
    <mergeCell ref="C40:F40"/>
  </mergeCells>
  <phoneticPr fontId="1" type="noConversion"/>
  <pageMargins left="0.75" right="0.75" top="1" bottom="1" header="0.5" footer="0.5"/>
  <pageSetup paperSize="9" scale="90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Williams</dc:creator>
  <cp:lastModifiedBy>Aksel Kretsinger-Walters</cp:lastModifiedBy>
  <cp:lastPrinted>2014-11-29T23:58:17Z</cp:lastPrinted>
  <dcterms:created xsi:type="dcterms:W3CDTF">2014-01-28T15:08:12Z</dcterms:created>
  <dcterms:modified xsi:type="dcterms:W3CDTF">2025-09-01T23:29:55Z</dcterms:modified>
</cp:coreProperties>
</file>