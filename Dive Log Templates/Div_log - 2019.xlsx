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Kretsinger\Downloads\"/>
    </mc:Choice>
  </mc:AlternateContent>
  <bookViews>
    <workbookView xWindow="0" yWindow="0" windowWidth="17790" windowHeight="5325" tabRatio="662"/>
  </bookViews>
  <sheets>
    <sheet name="Div_log" sheetId="1" r:id="rId1"/>
  </sheets>
  <definedNames>
    <definedName name="__shared_2_0_0">MONTH(#REF!)</definedName>
    <definedName name="__shared_2_0_1">YEAR(#REF!)</definedName>
    <definedName name="__shared_2_0_100">((#REF!-#REF!)*#REF!)/(((#REF!/10)+1)*#REF!)</definedName>
    <definedName name="__shared_2_0_101">((#REF!-#REF!)*#REF!)/(((#REF!/10)+1)*#REF!)</definedName>
    <definedName name="__shared_2_0_102">MONTH(#REF!)</definedName>
    <definedName name="__shared_2_0_103">YEAR(#REF!)</definedName>
    <definedName name="__shared_2_0_105">#REF!+1</definedName>
    <definedName name="__shared_2_0_106">(#REF!-#REF!)*#REF!</definedName>
    <definedName name="__shared_2_0_107">((#REF!-#REF!)*#REF!)/(((#REF!/10)+1)*#REF!)</definedName>
    <definedName name="__shared_2_0_108">((#REF!-#REF!)*#REF!)/(((#REF!/10)+1)*#REF!)</definedName>
    <definedName name="__shared_2_0_109">(#REF!-#REF!)*#REF!</definedName>
    <definedName name="__shared_2_0_11">#REF!+1</definedName>
    <definedName name="__shared_2_0_110">((#REF!-#REF!)*#REF!)/(((#REF!/10)+1)*#REF!)</definedName>
    <definedName name="__shared_2_0_111">((#REF!-#REF!)*#REF!)/(((#REF!/10)+1)*#REF!)</definedName>
    <definedName name="__shared_2_0_112">MONTH(#REF!)</definedName>
    <definedName name="__shared_2_0_113">YEAR(#REF!)</definedName>
    <definedName name="__shared_2_0_115">#REF!+1</definedName>
    <definedName name="__shared_2_0_116">(#REF!-#REF!)*#REF!</definedName>
    <definedName name="__shared_2_0_117">((#REF!-#REF!)*#REF!)/(((#REF!/10)+1)*#REF!)</definedName>
    <definedName name="__shared_2_0_118">((#REF!-#REF!)*#REF!)/(((#REF!/10)+1)*#REF!)</definedName>
    <definedName name="__shared_2_0_119">(#REF!-#REF!)*#REF!</definedName>
    <definedName name="__shared_2_0_12">((#REF!-#REF!)*#REF!)/(((#REF!/10)+1)*#REF!)</definedName>
    <definedName name="__shared_2_0_120">((#REF!-#REF!)*#REF!)/(((#REF!/10)+1)*#REF!)</definedName>
    <definedName name="__shared_2_0_121">((#REF!-#REF!)*#REF!)/(((#REF!/10)+1)*#REF!)</definedName>
    <definedName name="__shared_2_0_122">(#REF!-#REF!)*#REF!</definedName>
    <definedName name="__shared_2_0_123">((#REF!-#REF!)*#REF!)/(((#REF!/10)+1)*#REF!)</definedName>
    <definedName name="__shared_2_0_124">((#REF!-#REF!)*#REF!)/(((#REF!/10)+1)*#REF!)</definedName>
    <definedName name="__shared_2_0_125">MONTH(#REF!)</definedName>
    <definedName name="__shared_2_0_126">YEAR(#REF!)</definedName>
    <definedName name="__shared_2_0_128">#REF!+1</definedName>
    <definedName name="__shared_2_0_129">(#REF!-#REF!)*#REF!</definedName>
    <definedName name="__shared_2_0_13">MONTH(#REF!)</definedName>
    <definedName name="__shared_2_0_130">((#REF!-#REF!)*#REF!)/(((#REF!/10)+1)*#REF!)</definedName>
    <definedName name="__shared_2_0_131">((#REF!-#REF!)*#REF!)/(((#REF!/10)+1)*#REF!)</definedName>
    <definedName name="__shared_2_0_132">(#REF!-#REF!)*#REF!</definedName>
    <definedName name="__shared_2_0_133">((#REF!-#REF!)*#REF!)/(((#REF!/10)+1)*#REF!)</definedName>
    <definedName name="__shared_2_0_134">((#REF!-#REF!)*#REF!)/(((#REF!/10)+1)*#REF!)</definedName>
    <definedName name="__shared_2_0_135">MONTH(#REF!)</definedName>
    <definedName name="__shared_2_0_136">YEAR(#REF!)</definedName>
    <definedName name="__shared_2_0_138">#REF!+1</definedName>
    <definedName name="__shared_2_0_139">(#REF!-#REF!)*#REF!</definedName>
    <definedName name="__shared_2_0_14">YEAR(#REF!)</definedName>
    <definedName name="__shared_2_0_140">((#REF!-#REF!)*#REF!)/(((#REF!/10)+1)*#REF!)</definedName>
    <definedName name="__shared_2_0_141">((#REF!-#REF!)*#REF!)/(((#REF!/10)+1)*#REF!)</definedName>
    <definedName name="__shared_2_0_142">(#REF!-#REF!)*#REF!</definedName>
    <definedName name="__shared_2_0_143">((#REF!-#REF!)*#REF!)/(((#REF!/10)+1)*#REF!)</definedName>
    <definedName name="__shared_2_0_144">((#REF!-#REF!)*#REF!)/(((#REF!/10)+1)*#REF!)</definedName>
    <definedName name="__shared_2_0_145">(#REF!-#REF!)*#REF!</definedName>
    <definedName name="__shared_2_0_146">((#REF!-#REF!)*#REF!)/(((#REF!/10)+1)*#REF!)</definedName>
    <definedName name="__shared_2_0_147">((#REF!-#REF!)*#REF!)/(((#REF!/10)+1)*#REF!)</definedName>
    <definedName name="__shared_2_0_148">(#REF!-#REF!)*#REF!</definedName>
    <definedName name="__shared_2_0_149">((#REF!-#REF!)*#REF!)/(((#REF!/10)+1)*#REF!)</definedName>
    <definedName name="__shared_2_0_150">((#REF!-#REF!)*#REF!)/(((#REF!/10)+1)*#REF!)</definedName>
    <definedName name="__shared_2_0_151">(#REF!-#REF!)*#REF!</definedName>
    <definedName name="__shared_2_0_152">((#REF!-#REF!)*#REF!)/(((#REF!/10)+1)*#REF!)</definedName>
    <definedName name="__shared_2_0_153">((#REF!-#REF!)*#REF!)/(((#REF!/10)+1)*#REF!)</definedName>
    <definedName name="__shared_2_0_154">#REF!+1</definedName>
    <definedName name="__shared_2_0_155">MONTH(#REF!)</definedName>
    <definedName name="__shared_2_0_156">YEAR(#REF!)</definedName>
    <definedName name="__shared_2_0_158">(#REF!-#REF!)*#REF!</definedName>
    <definedName name="__shared_2_0_159">((#REF!-#REF!)*#REF!)/(((#REF!/10)+1)*#REF!)</definedName>
    <definedName name="__shared_2_0_16">#REF!+1</definedName>
    <definedName name="__shared_2_0_160">((#REF!-#REF!)*#REF!)/(((#REF!/10)+1)*#REF!)</definedName>
    <definedName name="__shared_2_0_161">(#REF!-#REF!)*#REF!</definedName>
    <definedName name="__shared_2_0_162">((#REF!-#REF!)*#REF!)/(((#REF!/10)+1)*#REF!)</definedName>
    <definedName name="__shared_2_0_163">((#REF!-#REF!)*#REF!)/(((#REF!/10)+1)*#REF!)</definedName>
    <definedName name="__shared_2_0_164">MONTH(#REF!)</definedName>
    <definedName name="__shared_2_0_165">YEAR(#REF!)</definedName>
    <definedName name="__shared_2_0_167">(#REF!-#REF!)*#REF!</definedName>
    <definedName name="__shared_2_0_168">((#REF!-#REF!)*#REF!)/(((#REF!/10)+1)*#REF!)</definedName>
    <definedName name="__shared_2_0_169">((#REF!-#REF!)*#REF!)/(((#REF!/10)+1)*#REF!)</definedName>
    <definedName name="__shared_2_0_17">((#REF!-#REF!)*#REF!)/(((#REF!/10)+1)*#REF!)</definedName>
    <definedName name="__shared_2_0_170">MONTH(#REF!)</definedName>
    <definedName name="__shared_2_0_171">YEAR(#REF!)</definedName>
    <definedName name="__shared_2_0_173">MONTH(#REF!)</definedName>
    <definedName name="__shared_2_0_174">YEAR(#REF!)</definedName>
    <definedName name="__shared_2_0_176">(#REF!-#REF!)*#REF!</definedName>
    <definedName name="__shared_2_0_177">((#REF!-#REF!)*#REF!)/(((#REF!/10)+1)*#REF!)</definedName>
    <definedName name="__shared_2_0_178">((#REF!-#REF!)*#REF!)/(((#REF!/10)+1)*#REF!)</definedName>
    <definedName name="__shared_2_0_18">((#REF!-#REF!)*#REF!)/(((#REF!/10)+1)*#REF!)</definedName>
    <definedName name="__shared_2_0_180">(#REF!-#REF!)*#REF!</definedName>
    <definedName name="__shared_2_0_181">((#REF!-#REF!)*#REF!)/(((#REF!/10)+1)*#REF!)</definedName>
    <definedName name="__shared_2_0_182">((#REF!-#REF!)*#REF!)/(((#REF!/10)+1)*#REF!)</definedName>
    <definedName name="__shared_2_0_183">#REF!+1</definedName>
    <definedName name="__shared_2_0_184">(#REF!-#REF!)*#REF!</definedName>
    <definedName name="__shared_2_0_185">((#REF!-#REF!)*#REF!)/(((#REF!/10)+1)*#REF!)</definedName>
    <definedName name="__shared_2_0_186">((#REF!-#REF!)*#REF!)/(((#REF!/10)+1)*#REF!)</definedName>
    <definedName name="__shared_2_0_187">MONTH(#REF!)</definedName>
    <definedName name="__shared_2_0_188">YEAR(#REF!)</definedName>
    <definedName name="__shared_2_0_19">MONTH(#REF!)</definedName>
    <definedName name="__shared_2_0_190">MONTH(#REF!)</definedName>
    <definedName name="__shared_2_0_191">YEAR(#REF!)</definedName>
    <definedName name="__shared_2_0_193">MONTH(#REF!)</definedName>
    <definedName name="__shared_2_0_194">YEAR(#REF!)</definedName>
    <definedName name="__shared_2_0_196">MONTH(#REF!)</definedName>
    <definedName name="__shared_2_0_197">YEAR(#REF!)</definedName>
    <definedName name="__shared_2_0_199">MONTH(#REF!)</definedName>
    <definedName name="__shared_2_0_20">YEAR(#REF!)</definedName>
    <definedName name="__shared_2_0_200">YEAR(#REF!)</definedName>
    <definedName name="__shared_2_0_202">MONTH(#REF!)</definedName>
    <definedName name="__shared_2_0_203">YEAR(#REF!)</definedName>
    <definedName name="__shared_2_0_205">MONTH(#REF!)</definedName>
    <definedName name="__shared_2_0_206">YEAR(#REF!)</definedName>
    <definedName name="__shared_2_0_208">MONTH(#REF!)</definedName>
    <definedName name="__shared_2_0_209">YEAR(#REF!)</definedName>
    <definedName name="__shared_2_0_211">MONTH(#REF!)</definedName>
    <definedName name="__shared_2_0_212">YEAR(#REF!)</definedName>
    <definedName name="__shared_2_0_214">MONTH(#REF!)</definedName>
    <definedName name="__shared_2_0_215">YEAR(#REF!)</definedName>
    <definedName name="__shared_2_0_217">MONTH(#REF!)</definedName>
    <definedName name="__shared_2_0_218">YEAR(#REF!)</definedName>
    <definedName name="__shared_2_0_22">#REF!+1</definedName>
    <definedName name="__shared_2_0_23">((#REF!-#REF!)*#REF!)/(((#REF!/10)+1)*#REF!)</definedName>
    <definedName name="__shared_2_0_24">((#REF!-#REF!)*#REF!)/(((#REF!/10)+1)*#REF!)</definedName>
    <definedName name="__shared_2_0_25">MONTH(#REF!)</definedName>
    <definedName name="__shared_2_0_26">YEAR(#REF!)</definedName>
    <definedName name="__shared_2_0_28">#REF!+1</definedName>
    <definedName name="__shared_2_0_29">((#REF!-#REF!)*#REF!)/(((#REF!/10)+1)*#REF!)</definedName>
    <definedName name="__shared_2_0_3">#REF!+1</definedName>
    <definedName name="__shared_2_0_30">((#REF!-#REF!)*#REF!)/(((#REF!/10)+1)*#REF!)</definedName>
    <definedName name="__shared_2_0_31">MONTH(#REF!)</definedName>
    <definedName name="__shared_2_0_32">YEAR(#REF!)</definedName>
    <definedName name="__shared_2_0_34">#REF!+1</definedName>
    <definedName name="__shared_2_0_35">((#REF!-#REF!)*#REF!)/(((#REF!/10)+1)*#REF!)</definedName>
    <definedName name="__shared_2_0_36">((#REF!-#REF!)*#REF!)/(((#REF!/10)+1)*#REF!)</definedName>
    <definedName name="__shared_2_0_37">MONTH(#REF!)</definedName>
    <definedName name="__shared_2_0_38">YEAR(#REF!)</definedName>
    <definedName name="__shared_2_0_4">MONTH(#REF!)</definedName>
    <definedName name="__shared_2_0_40">#REF!+1</definedName>
    <definedName name="__shared_2_0_41">((#REF!-#REF!)*#REF!)/(((#REF!/10)+1)*#REF!)</definedName>
    <definedName name="__shared_2_0_42">((#REF!-#REF!)*#REF!)/(((#REF!/10)+1)*#REF!)</definedName>
    <definedName name="__shared_2_0_43">MONTH(#REF!)</definedName>
    <definedName name="__shared_2_0_44">YEAR(#REF!)</definedName>
    <definedName name="__shared_2_0_46">#REF!+1</definedName>
    <definedName name="__shared_2_0_47">((#REF!-#REF!)*#REF!)/(((#REF!/10)+1)*#REF!)</definedName>
    <definedName name="__shared_2_0_48">MONTH(#REF!)</definedName>
    <definedName name="__shared_2_0_49">YEAR(#REF!)</definedName>
    <definedName name="__shared_2_0_5">YEAR(#REF!)</definedName>
    <definedName name="__shared_2_0_51">#REF!+1</definedName>
    <definedName name="__shared_2_0_52">((#REF!-#REF!)*#REF!)/(((#REF!/10)+1)*#REF!)</definedName>
    <definedName name="__shared_2_0_53">(#REF!-#REF!)*#REF!</definedName>
    <definedName name="__shared_2_0_54">MONTH(#REF!)</definedName>
    <definedName name="__shared_2_0_55">YEAR(#REF!)</definedName>
    <definedName name="__shared_2_0_57">#REF!+1</definedName>
    <definedName name="__shared_2_0_58">((#REF!-#REF!)*#REF!)/(((#REF!/10)+1)*#REF!)</definedName>
    <definedName name="__shared_2_0_59">((#REF!-#REF!)*#REF!)/(((#REF!/10)+1)*#REF!)</definedName>
    <definedName name="__shared_2_0_60">(#REF!-#REF!)*#REF!</definedName>
    <definedName name="__shared_2_0_61">MONTH(#REF!)</definedName>
    <definedName name="__shared_2_0_62">YEAR(#REF!)</definedName>
    <definedName name="__shared_2_0_64">#REF!+1</definedName>
    <definedName name="__shared_2_0_65">((#REF!-#REF!)*#REF!)/(((#REF!/10)+1)*#REF!)</definedName>
    <definedName name="__shared_2_0_66">((#REF!-#REF!)*#REF!)/(((#REF!/10)+1)*#REF!)</definedName>
    <definedName name="__shared_2_0_67">(#REF!-#REF!)*#REF!</definedName>
    <definedName name="__shared_2_0_68">MONTH(#REF!)</definedName>
    <definedName name="__shared_2_0_69">YEAR(#REF!)</definedName>
    <definedName name="__shared_2_0_7">#REF!+1</definedName>
    <definedName name="__shared_2_0_71">#REF!+1</definedName>
    <definedName name="__shared_2_0_72">((#REF!-#REF!)*#REF!)/(((#REF!/10)+1)*#REF!)</definedName>
    <definedName name="__shared_2_0_73">((#REF!-#REF!)*#REF!)/(((#REF!/10)+1)*#REF!)</definedName>
    <definedName name="__shared_2_0_74">(#REF!-#REF!)*#REF!</definedName>
    <definedName name="__shared_2_0_75">MONTH(#REF!)</definedName>
    <definedName name="__shared_2_0_76">YEAR(#REF!)</definedName>
    <definedName name="__shared_2_0_78">#REF!+1</definedName>
    <definedName name="__shared_2_0_79">(#REF!-#REF!)*#REF!</definedName>
    <definedName name="__shared_2_0_8">MONTH(#REF!)</definedName>
    <definedName name="__shared_2_0_80">((#REF!-#REF!)*#REF!)/(((#REF!/10)+1)*#REF!)</definedName>
    <definedName name="__shared_2_0_81">((#REF!-#REF!)*#REF!)/(((#REF!/10)+1)*#REF!)</definedName>
    <definedName name="__shared_2_0_82">(#REF!-#REF!)*#REF!</definedName>
    <definedName name="__shared_2_0_83">((#REF!-#REF!)*#REF!)/(((#REF!/10)+1)*#REF!)</definedName>
    <definedName name="__shared_2_0_84">((#REF!-#REF!)*#REF!)/(((#REF!/10)+1)*#REF!)</definedName>
    <definedName name="__shared_2_0_85">(#REF!-#REF!)*#REF!</definedName>
    <definedName name="__shared_2_0_86">((#REF!-#REF!)*#REF!)/(((#REF!/10)+1)*#REF!)</definedName>
    <definedName name="__shared_2_0_87">((#REF!-#REF!)*#REF!)/(((#REF!/10)+1)*#REF!)</definedName>
    <definedName name="__shared_2_0_89">MONTH(#REF!)</definedName>
    <definedName name="__shared_2_0_9">YEAR(#REF!)</definedName>
    <definedName name="__shared_2_0_90">YEAR(#REF!)</definedName>
    <definedName name="__shared_2_0_92">#REF!+1</definedName>
    <definedName name="__shared_2_0_93">(#REF!-#REF!)*#REF!</definedName>
    <definedName name="__shared_2_0_94">((#REF!-#REF!)*#REF!)/(((#REF!/10)+1)*#REF!)</definedName>
    <definedName name="__shared_2_0_95">((#REF!-#REF!)*#REF!)/(((#REF!/10)+1)*#REF!)</definedName>
    <definedName name="__shared_2_0_96">(#REF!-#REF!)*#REF!</definedName>
    <definedName name="__shared_2_0_97">((#REF!-#REF!)*#REF!)/(((#REF!/10)+1)*#REF!)</definedName>
    <definedName name="__shared_2_0_98">((#REF!-#REF!)*#REF!)/(((#REF!/10)+1)*#REF!)</definedName>
    <definedName name="__shared_2_0_99">(#REF!-#REF!)*#REF!</definedName>
    <definedName name="__shared_6_0_0">IF(#REF!=0,IF(#REF!=0,"N","Y"),"Y")</definedName>
    <definedName name="__shared_6_0_1">IF(#REF!=0,IF(#REF!=0,"N","Y"),"Y")</definedName>
    <definedName name="__shared_6_0_10">IF(#REF!=0,IF(#REF!=0,"N","Y"),"Y")</definedName>
    <definedName name="__shared_6_0_11">IF(#REF!=0,IF(#REF!=0,"N","Y"),"Y")</definedName>
    <definedName name="__shared_6_0_12">IF(#REF!=0,IF(#REF!=0,"N","Y"),"Y")</definedName>
    <definedName name="__shared_6_0_13">IF(#REF!=0,IF(#REF!=0,"N","Y"),"Y")</definedName>
    <definedName name="__shared_6_0_14">IF(#REF!=0,IF(#REF!=0,"N","Y"),"Y")</definedName>
    <definedName name="__shared_6_0_15">IF(#REF!=0,IF(#REF!=0,"N","Y"),"Y")</definedName>
    <definedName name="__shared_6_0_16">IF(#REF!=0,IF(#REF!=0,"N","Y"),"Y")</definedName>
    <definedName name="__shared_6_0_17">IF(#REF!=0,IF(#REF!=0,"N","Y"),"Y")</definedName>
    <definedName name="__shared_6_0_18">IF(#REF!=0,IF(#REF!=0,"N","Y"),"Y")</definedName>
    <definedName name="__shared_6_0_19">IF(#REF!=0,IF(#REF!=0,"N","Y"),"Y")</definedName>
    <definedName name="__shared_6_0_2">IF(#REF!=0,IF(#REF!=0,"N","Y"),"Y")</definedName>
    <definedName name="__shared_6_0_20">IF(#REF!=0,IF(#REF!=0,"N","Y"),"Y")</definedName>
    <definedName name="__shared_6_0_21">IF(#REF!=0,IF(#REF!=0,"N","Y"),"Y")</definedName>
    <definedName name="__shared_6_0_22">IF(#REF!=0,IF(#REF!=0,"N","Y"),"Y")</definedName>
    <definedName name="__shared_6_0_23">IF(#REF!=0,IF(#REF!=0,"N","Y"),"Y")</definedName>
    <definedName name="__shared_6_0_3">IF(#REF!=0,IF(#REF!=0,"N","Y"),"Y")</definedName>
    <definedName name="__shared_6_0_4">IF(#REF!=0,IF(#REF!=0,"N","Y"),"Y")</definedName>
    <definedName name="__shared_6_0_5">IF(#REF!=0,IF(#REF!=0,"N","Y"),"Y")</definedName>
    <definedName name="__shared_6_0_6">IF(#REF!=0,IF(#REF!=0,"N","Y"),"Y")</definedName>
    <definedName name="__shared_6_0_7">IF(#REF!=0,IF(#REF!=0,"N","Y"),"Y")</definedName>
    <definedName name="__shared_6_0_8">IF(#REF!=0,IF(#REF!=0,"N","Y"),"Y")</definedName>
    <definedName name="__shared_6_0_9">IF(#REF!=0,IF(#REF!=0,"N","Y"),"Y")</definedName>
  </definedNames>
  <calcPr calcId="162913"/>
  <extLst>
    <ext uri="smNativeData">
      <pm:revision xmlns:pm="smNativeData" day="1598789607" val="976" rev="124" rev64="64" revOS="4" revMin="124" revMax="0"/>
      <pm:docPrefs xmlns:pm="smNativeData" id="1598789607" fixedDigits="0" showNotice="1" showFrameBounds="1" autoChart="1" recalcOnPrint="1" recalcOnCopy="1" compatTextArt="1" tab="567" useDefinedPrintRange="1" printArea="currentSheet"/>
      <pm:compatibility xmlns:pm="smNativeData" id="1598789607" overlapCells="1"/>
      <pm:defCurrency xmlns:pm="smNativeData" id="1598789607"/>
      <pm:pdfExportOpt xmlns:pm="smNativeData" pagesRangeIndex="1" pagesSelectionIndex="0" qualityIndex="0" embedFonts="2" useJpegs="0" useSubsetFonts="1" useAlpha="1" relativeLinks="0" taggedPdf="1" pane="0" zoom="0" zoomScale="100" layout="0" includeDoc="0" viewFlags="0" openViewer="1" jpegQuality="90" flags="252" exportWsNames="1" name="C:\Users\Edward\Dropbox\Diving\2016-2020 Sae Temperatures.pdf"/>
    </ext>
  </extLst>
</workbook>
</file>

<file path=xl/calcChain.xml><?xml version="1.0" encoding="utf-8"?>
<calcChain xmlns="http://schemas.openxmlformats.org/spreadsheetml/2006/main">
  <c r="Z257" i="1" l="1"/>
  <c r="Y257" i="1"/>
  <c r="X257" i="1"/>
  <c r="W257" i="1"/>
  <c r="Z256" i="1"/>
  <c r="Y256" i="1"/>
  <c r="X256" i="1"/>
  <c r="W256" i="1"/>
  <c r="Z255" i="1"/>
  <c r="Y255" i="1"/>
  <c r="X255" i="1"/>
  <c r="W255" i="1"/>
  <c r="Z254" i="1"/>
  <c r="Y254" i="1"/>
  <c r="X254" i="1"/>
  <c r="W254" i="1"/>
  <c r="Z253" i="1"/>
  <c r="Y253" i="1"/>
  <c r="X253" i="1"/>
  <c r="W253" i="1"/>
  <c r="Z252" i="1"/>
  <c r="Y252" i="1"/>
  <c r="X252" i="1"/>
  <c r="W252" i="1"/>
  <c r="Z251" i="1"/>
  <c r="Y251" i="1"/>
  <c r="X251" i="1"/>
  <c r="W251" i="1"/>
  <c r="Z250" i="1"/>
  <c r="Y250" i="1"/>
  <c r="X250" i="1"/>
  <c r="W250" i="1"/>
  <c r="Z249" i="1"/>
  <c r="Y249" i="1"/>
  <c r="X249" i="1"/>
  <c r="W249" i="1"/>
  <c r="Z248" i="1"/>
  <c r="Y248" i="1"/>
  <c r="X248" i="1"/>
  <c r="W248" i="1"/>
  <c r="Z247" i="1"/>
  <c r="Y247" i="1"/>
  <c r="X247" i="1"/>
  <c r="W247" i="1"/>
  <c r="Z246" i="1"/>
  <c r="Y246" i="1"/>
  <c r="X246" i="1"/>
  <c r="W246" i="1"/>
  <c r="Z245" i="1"/>
  <c r="Y245" i="1"/>
  <c r="X245" i="1"/>
  <c r="W245" i="1"/>
  <c r="Z244" i="1"/>
  <c r="Y244" i="1"/>
  <c r="X244" i="1"/>
  <c r="W244" i="1"/>
  <c r="Z243" i="1"/>
  <c r="Y243" i="1"/>
  <c r="X243" i="1"/>
  <c r="W243" i="1"/>
  <c r="Z242" i="1"/>
  <c r="Y242" i="1"/>
  <c r="X242" i="1"/>
  <c r="W242" i="1"/>
  <c r="Z241" i="1"/>
  <c r="Y241" i="1"/>
  <c r="X241" i="1"/>
  <c r="W241" i="1"/>
  <c r="Z240" i="1"/>
  <c r="Y240" i="1"/>
  <c r="X240" i="1"/>
  <c r="W240" i="1"/>
  <c r="Z239" i="1"/>
  <c r="Y239" i="1"/>
  <c r="X239" i="1"/>
  <c r="W239" i="1"/>
  <c r="Z238" i="1"/>
  <c r="Y238" i="1"/>
  <c r="X238" i="1"/>
  <c r="W238" i="1"/>
  <c r="Z237" i="1"/>
  <c r="Y237" i="1"/>
  <c r="X237" i="1"/>
  <c r="W237" i="1"/>
  <c r="Z236" i="1"/>
  <c r="Y236" i="1"/>
  <c r="X236" i="1"/>
  <c r="W236" i="1"/>
  <c r="Z235" i="1"/>
  <c r="Y235" i="1"/>
  <c r="X235" i="1"/>
  <c r="W235" i="1"/>
  <c r="Z234" i="1"/>
  <c r="Y234" i="1"/>
  <c r="X234" i="1"/>
  <c r="W234" i="1"/>
  <c r="Z233" i="1"/>
  <c r="Y233" i="1"/>
  <c r="X233" i="1"/>
  <c r="W233" i="1"/>
  <c r="Z232" i="1"/>
  <c r="Y232" i="1"/>
  <c r="X232" i="1"/>
  <c r="W232" i="1"/>
  <c r="Z231" i="1"/>
  <c r="Y231" i="1"/>
  <c r="X231" i="1"/>
  <c r="W231" i="1"/>
  <c r="Z230" i="1"/>
  <c r="Y230" i="1"/>
  <c r="X230" i="1"/>
  <c r="W230" i="1"/>
  <c r="Z229" i="1"/>
  <c r="Y229" i="1"/>
  <c r="X229" i="1"/>
  <c r="W229" i="1"/>
  <c r="Z228" i="1"/>
  <c r="Y228" i="1"/>
  <c r="X228" i="1"/>
  <c r="W228" i="1"/>
  <c r="Z227" i="1"/>
  <c r="Y227" i="1"/>
  <c r="X227" i="1"/>
  <c r="W227" i="1"/>
  <c r="Z226" i="1"/>
  <c r="Y226" i="1"/>
  <c r="X226" i="1"/>
  <c r="W226" i="1"/>
  <c r="Z225" i="1"/>
  <c r="Y225" i="1"/>
  <c r="X225" i="1"/>
  <c r="W225" i="1"/>
  <c r="Z224" i="1"/>
  <c r="Y224" i="1"/>
  <c r="X224" i="1"/>
  <c r="W224" i="1"/>
  <c r="Z223" i="1"/>
  <c r="Y223" i="1"/>
  <c r="X223" i="1"/>
  <c r="W223" i="1"/>
  <c r="Z222" i="1"/>
  <c r="Y222" i="1"/>
  <c r="X222" i="1"/>
  <c r="W222" i="1"/>
  <c r="Z221" i="1"/>
  <c r="Y221" i="1"/>
  <c r="X221" i="1"/>
  <c r="W221" i="1"/>
  <c r="Z220" i="1"/>
  <c r="Y220" i="1"/>
  <c r="X220" i="1"/>
  <c r="W220" i="1"/>
  <c r="Z219" i="1"/>
  <c r="Y219" i="1"/>
  <c r="X219" i="1"/>
  <c r="W219" i="1"/>
  <c r="Z218" i="1"/>
  <c r="Y218" i="1"/>
  <c r="X218" i="1"/>
  <c r="W218" i="1"/>
  <c r="Z217" i="1"/>
  <c r="Y217" i="1"/>
  <c r="X217" i="1"/>
  <c r="W217" i="1"/>
  <c r="Z216" i="1"/>
  <c r="Y216" i="1"/>
  <c r="X216" i="1"/>
  <c r="W216" i="1"/>
  <c r="Z215" i="1"/>
  <c r="Y215" i="1"/>
  <c r="X215" i="1"/>
  <c r="W215" i="1"/>
  <c r="Z214" i="1"/>
  <c r="Y214" i="1"/>
  <c r="X214" i="1"/>
  <c r="W214" i="1"/>
  <c r="Z213" i="1"/>
  <c r="Y213" i="1"/>
  <c r="X213" i="1"/>
  <c r="W213" i="1"/>
  <c r="Z212" i="1"/>
  <c r="Y212" i="1"/>
  <c r="X212" i="1"/>
  <c r="W212" i="1"/>
  <c r="Z211" i="1"/>
  <c r="Y211" i="1"/>
  <c r="X211" i="1"/>
  <c r="W211" i="1"/>
  <c r="Z210" i="1"/>
  <c r="Y210" i="1"/>
  <c r="X210" i="1"/>
  <c r="W210" i="1"/>
  <c r="Z209" i="1"/>
  <c r="Y209" i="1"/>
  <c r="X209" i="1"/>
  <c r="W209" i="1"/>
  <c r="Z208" i="1"/>
  <c r="Y208" i="1"/>
  <c r="X208" i="1"/>
  <c r="W208" i="1"/>
  <c r="Z207" i="1"/>
  <c r="Y207" i="1"/>
  <c r="X207" i="1"/>
  <c r="W207" i="1"/>
  <c r="Z206" i="1"/>
  <c r="Y206" i="1"/>
  <c r="X206" i="1"/>
  <c r="W206" i="1"/>
  <c r="Z205" i="1"/>
  <c r="Y205" i="1"/>
  <c r="X205" i="1"/>
  <c r="W205" i="1"/>
  <c r="Z204" i="1"/>
  <c r="Y204" i="1"/>
  <c r="X204" i="1"/>
  <c r="W204" i="1"/>
  <c r="Z203" i="1"/>
  <c r="Y203" i="1"/>
  <c r="X203" i="1"/>
  <c r="W203" i="1"/>
  <c r="Z202" i="1"/>
  <c r="Y202" i="1"/>
  <c r="X202" i="1"/>
  <c r="W202" i="1"/>
  <c r="Z201" i="1"/>
  <c r="Y201" i="1"/>
  <c r="X201" i="1"/>
  <c r="W201" i="1"/>
  <c r="Z200" i="1"/>
  <c r="Y200" i="1"/>
  <c r="X200" i="1"/>
  <c r="W200" i="1"/>
  <c r="Z199" i="1"/>
  <c r="Y199" i="1"/>
  <c r="X199" i="1"/>
  <c r="W199" i="1"/>
  <c r="Z198" i="1"/>
  <c r="Y198" i="1"/>
  <c r="X198" i="1"/>
  <c r="W198" i="1"/>
  <c r="Z197" i="1"/>
  <c r="Y197" i="1"/>
  <c r="X197" i="1"/>
  <c r="W197" i="1"/>
  <c r="Z196" i="1"/>
  <c r="Y196" i="1"/>
  <c r="X196" i="1"/>
  <c r="W196" i="1"/>
  <c r="Z195" i="1"/>
  <c r="Y195" i="1"/>
  <c r="X195" i="1"/>
  <c r="W195" i="1"/>
  <c r="Z194" i="1"/>
  <c r="Y194" i="1"/>
  <c r="X194" i="1"/>
  <c r="W194" i="1"/>
  <c r="Z193" i="1"/>
  <c r="Y193" i="1"/>
  <c r="X193" i="1"/>
  <c r="W193" i="1"/>
  <c r="Z192" i="1"/>
  <c r="Y192" i="1"/>
  <c r="X192" i="1"/>
  <c r="W192" i="1"/>
  <c r="Z191" i="1"/>
  <c r="Y191" i="1"/>
  <c r="X191" i="1"/>
  <c r="W191" i="1"/>
  <c r="Z190" i="1"/>
  <c r="Y190" i="1"/>
  <c r="X190" i="1"/>
  <c r="W190" i="1"/>
  <c r="Z189" i="1"/>
  <c r="Y189" i="1"/>
  <c r="X189" i="1"/>
  <c r="W189" i="1"/>
  <c r="Z188" i="1"/>
  <c r="Y188" i="1"/>
  <c r="X188" i="1"/>
  <c r="W188" i="1"/>
  <c r="Z187" i="1"/>
  <c r="Y187" i="1"/>
  <c r="X187" i="1"/>
  <c r="W187" i="1"/>
  <c r="Z186" i="1"/>
  <c r="Y186" i="1"/>
  <c r="X186" i="1"/>
  <c r="W186" i="1"/>
  <c r="Z185" i="1"/>
  <c r="Y185" i="1"/>
  <c r="X185" i="1"/>
  <c r="W185" i="1"/>
  <c r="Z184" i="1"/>
  <c r="Y184" i="1"/>
  <c r="X184" i="1"/>
  <c r="W184" i="1"/>
  <c r="Z183" i="1"/>
  <c r="Y183" i="1"/>
  <c r="X183" i="1"/>
  <c r="W183" i="1"/>
  <c r="Z182" i="1"/>
  <c r="Y182" i="1"/>
  <c r="X182" i="1"/>
  <c r="W182" i="1"/>
  <c r="Z181" i="1"/>
  <c r="Y181" i="1"/>
  <c r="X181" i="1"/>
  <c r="W181" i="1"/>
  <c r="Z180" i="1"/>
  <c r="Y180" i="1"/>
  <c r="X180" i="1"/>
  <c r="W180" i="1"/>
  <c r="Z179" i="1"/>
  <c r="Y179" i="1"/>
  <c r="X179" i="1"/>
  <c r="W179" i="1"/>
  <c r="Z178" i="1"/>
  <c r="Y178" i="1"/>
  <c r="X178" i="1"/>
  <c r="W178" i="1"/>
  <c r="Z177" i="1"/>
  <c r="Y177" i="1"/>
  <c r="X177" i="1"/>
  <c r="W177" i="1"/>
  <c r="Z176" i="1"/>
  <c r="Y176" i="1"/>
  <c r="X176" i="1"/>
  <c r="W176" i="1"/>
  <c r="Z175" i="1"/>
  <c r="Y175" i="1"/>
  <c r="X175" i="1"/>
  <c r="W175" i="1"/>
  <c r="Z174" i="1"/>
  <c r="Y174" i="1"/>
  <c r="X174" i="1"/>
  <c r="W174" i="1"/>
  <c r="Z173" i="1"/>
  <c r="Y173" i="1"/>
  <c r="X173" i="1"/>
  <c r="W173" i="1"/>
  <c r="Z172" i="1"/>
  <c r="Y172" i="1"/>
  <c r="X172" i="1"/>
  <c r="W172" i="1"/>
  <c r="Z171" i="1"/>
  <c r="Y171" i="1"/>
  <c r="X171" i="1"/>
  <c r="W171" i="1"/>
  <c r="Z170" i="1"/>
  <c r="Y170" i="1"/>
  <c r="X170" i="1"/>
  <c r="W170" i="1"/>
  <c r="Z169" i="1"/>
  <c r="Y169" i="1"/>
  <c r="X169" i="1"/>
  <c r="W169" i="1"/>
  <c r="Z168" i="1"/>
  <c r="Y168" i="1"/>
  <c r="X168" i="1"/>
  <c r="W168" i="1"/>
  <c r="Z167" i="1"/>
  <c r="Y167" i="1"/>
  <c r="X167" i="1"/>
  <c r="W167" i="1"/>
  <c r="Z166" i="1"/>
  <c r="Y166" i="1"/>
  <c r="X166" i="1"/>
  <c r="W166" i="1"/>
  <c r="Z165" i="1"/>
  <c r="Y165" i="1"/>
  <c r="X165" i="1"/>
  <c r="W165" i="1"/>
  <c r="Z164" i="1"/>
  <c r="Y164" i="1"/>
  <c r="X164" i="1"/>
  <c r="W164" i="1"/>
  <c r="Z163" i="1"/>
  <c r="Y163" i="1"/>
  <c r="X163" i="1"/>
  <c r="W163" i="1"/>
  <c r="Z162" i="1"/>
  <c r="Y162" i="1"/>
  <c r="X162" i="1"/>
  <c r="W162" i="1"/>
  <c r="Z161" i="1"/>
  <c r="Y161" i="1"/>
  <c r="X161" i="1"/>
  <c r="W161" i="1"/>
  <c r="Z160" i="1"/>
  <c r="Y160" i="1"/>
  <c r="X160" i="1"/>
  <c r="W160" i="1"/>
  <c r="Z159" i="1"/>
  <c r="Y159" i="1"/>
  <c r="X159" i="1"/>
  <c r="W159" i="1"/>
  <c r="Z158" i="1"/>
  <c r="Y158" i="1"/>
  <c r="X158" i="1"/>
  <c r="W158" i="1"/>
  <c r="Z157" i="1"/>
  <c r="Y157" i="1"/>
  <c r="X157" i="1"/>
  <c r="W157" i="1"/>
  <c r="Z156" i="1"/>
  <c r="Y156" i="1"/>
  <c r="X156" i="1"/>
  <c r="W156" i="1"/>
  <c r="Z155" i="1"/>
  <c r="Y155" i="1"/>
  <c r="X155" i="1"/>
  <c r="W155" i="1"/>
  <c r="Z154" i="1"/>
  <c r="Y154" i="1"/>
  <c r="X154" i="1"/>
  <c r="W154" i="1"/>
  <c r="Z153" i="1"/>
  <c r="Y153" i="1"/>
  <c r="X153" i="1"/>
  <c r="W153" i="1"/>
  <c r="Z152" i="1"/>
  <c r="Y152" i="1"/>
  <c r="X152" i="1"/>
  <c r="W152" i="1"/>
  <c r="Z151" i="1"/>
  <c r="Y151" i="1"/>
  <c r="X151" i="1"/>
  <c r="W151" i="1"/>
  <c r="Z150" i="1"/>
  <c r="Y150" i="1"/>
  <c r="X150" i="1"/>
  <c r="W150" i="1"/>
  <c r="Z149" i="1"/>
  <c r="Y149" i="1"/>
  <c r="X149" i="1"/>
  <c r="W149" i="1"/>
  <c r="Z148" i="1"/>
  <c r="Y148" i="1"/>
  <c r="X148" i="1"/>
  <c r="W148" i="1"/>
  <c r="Z147" i="1"/>
  <c r="Y147" i="1"/>
  <c r="X147" i="1"/>
  <c r="W147" i="1"/>
  <c r="Z146" i="1"/>
  <c r="Y146" i="1"/>
  <c r="X146" i="1"/>
  <c r="W146" i="1"/>
  <c r="Z145" i="1"/>
  <c r="Y145" i="1"/>
  <c r="X145" i="1"/>
  <c r="W145" i="1"/>
  <c r="Z144" i="1"/>
  <c r="Y144" i="1"/>
  <c r="X144" i="1"/>
  <c r="W144" i="1"/>
  <c r="Z143" i="1"/>
  <c r="Y143" i="1"/>
  <c r="X143" i="1"/>
  <c r="W143" i="1"/>
  <c r="Z142" i="1"/>
  <c r="Y142" i="1"/>
  <c r="X142" i="1"/>
  <c r="W142" i="1"/>
  <c r="Z141" i="1"/>
  <c r="Y141" i="1"/>
  <c r="X141" i="1"/>
  <c r="W141" i="1"/>
  <c r="Z140" i="1"/>
  <c r="Y140" i="1"/>
  <c r="X140" i="1"/>
  <c r="W140" i="1"/>
  <c r="Z139" i="1"/>
  <c r="Y139" i="1"/>
  <c r="X139" i="1"/>
  <c r="W139" i="1"/>
  <c r="Z138" i="1"/>
  <c r="Y138" i="1"/>
  <c r="X138" i="1"/>
  <c r="W138" i="1"/>
  <c r="Z137" i="1"/>
  <c r="Y137" i="1"/>
  <c r="X137" i="1"/>
  <c r="W137" i="1"/>
  <c r="Z136" i="1"/>
  <c r="Y136" i="1"/>
  <c r="X136" i="1"/>
  <c r="W136" i="1"/>
  <c r="Z135" i="1"/>
  <c r="Y135" i="1"/>
  <c r="X135" i="1"/>
  <c r="W135" i="1"/>
  <c r="Z134" i="1"/>
  <c r="Y134" i="1"/>
  <c r="X134" i="1"/>
  <c r="W134" i="1"/>
  <c r="Z133" i="1"/>
  <c r="Y133" i="1"/>
  <c r="X133" i="1"/>
  <c r="W133" i="1"/>
  <c r="Z132" i="1"/>
  <c r="Y132" i="1"/>
  <c r="X132" i="1"/>
  <c r="W132" i="1"/>
  <c r="Z131" i="1"/>
  <c r="Y131" i="1"/>
  <c r="X131" i="1"/>
  <c r="W131" i="1"/>
  <c r="Z130" i="1"/>
  <c r="Y130" i="1"/>
  <c r="X130" i="1"/>
  <c r="W130" i="1"/>
  <c r="Z129" i="1"/>
  <c r="Y129" i="1"/>
  <c r="X129" i="1"/>
  <c r="W129" i="1"/>
  <c r="Z128" i="1"/>
  <c r="Y128" i="1"/>
  <c r="X128" i="1"/>
  <c r="W128" i="1"/>
  <c r="Z127" i="1"/>
  <c r="Y127" i="1"/>
  <c r="X127" i="1"/>
  <c r="W127" i="1"/>
  <c r="Z126" i="1"/>
  <c r="Y126" i="1"/>
  <c r="X126" i="1"/>
  <c r="W126" i="1"/>
  <c r="Z125" i="1"/>
  <c r="Y125" i="1"/>
  <c r="X125" i="1"/>
  <c r="W125" i="1"/>
  <c r="Z124" i="1"/>
  <c r="Y124" i="1"/>
  <c r="X124" i="1"/>
  <c r="W124" i="1"/>
  <c r="Z123" i="1"/>
  <c r="Y123" i="1"/>
  <c r="X123" i="1"/>
  <c r="W123" i="1"/>
  <c r="Z122" i="1"/>
  <c r="Y122" i="1"/>
  <c r="X122" i="1"/>
  <c r="W122" i="1"/>
  <c r="Z121" i="1"/>
  <c r="Y121" i="1"/>
  <c r="X121" i="1"/>
  <c r="W121" i="1"/>
  <c r="Z120" i="1"/>
  <c r="Y120" i="1"/>
  <c r="X120" i="1"/>
  <c r="W120" i="1"/>
  <c r="Z119" i="1"/>
  <c r="Y119" i="1"/>
  <c r="X119" i="1"/>
  <c r="W119" i="1"/>
  <c r="Z118" i="1"/>
  <c r="Y118" i="1"/>
  <c r="X118" i="1"/>
  <c r="W118" i="1"/>
  <c r="Z117" i="1"/>
  <c r="Y117" i="1"/>
  <c r="X117" i="1"/>
  <c r="W117" i="1"/>
  <c r="Z116" i="1"/>
  <c r="Y116" i="1"/>
  <c r="X116" i="1"/>
  <c r="W116" i="1"/>
  <c r="Z115" i="1"/>
  <c r="Y115" i="1"/>
  <c r="X115" i="1"/>
  <c r="W115" i="1"/>
  <c r="Z114" i="1"/>
  <c r="Y114" i="1"/>
  <c r="X114" i="1"/>
  <c r="W114" i="1"/>
  <c r="Z113" i="1"/>
  <c r="Y113" i="1"/>
  <c r="X113" i="1"/>
  <c r="W113" i="1"/>
  <c r="Z112" i="1"/>
  <c r="Y112" i="1"/>
  <c r="X112" i="1"/>
  <c r="W112" i="1"/>
  <c r="Z111" i="1"/>
  <c r="Y111" i="1"/>
  <c r="X111" i="1"/>
  <c r="W111" i="1"/>
  <c r="Z110" i="1"/>
  <c r="Y110" i="1"/>
  <c r="X110" i="1"/>
  <c r="W110" i="1"/>
  <c r="Z109" i="1"/>
  <c r="Y109" i="1"/>
  <c r="X109" i="1"/>
  <c r="W109" i="1"/>
  <c r="Z108" i="1"/>
  <c r="Y108" i="1"/>
  <c r="X108" i="1"/>
  <c r="W108" i="1"/>
  <c r="Z107" i="1"/>
  <c r="Y107" i="1"/>
  <c r="X107" i="1"/>
  <c r="W107" i="1"/>
  <c r="Z106" i="1"/>
  <c r="Y106" i="1"/>
  <c r="X106" i="1"/>
  <c r="W106" i="1"/>
  <c r="Z105" i="1"/>
  <c r="Y105" i="1"/>
  <c r="X105" i="1"/>
  <c r="W105" i="1"/>
  <c r="Z104" i="1"/>
  <c r="Y104" i="1"/>
  <c r="X104" i="1"/>
  <c r="W104" i="1"/>
  <c r="Z103" i="1"/>
  <c r="Y103" i="1"/>
  <c r="X103" i="1"/>
  <c r="W103" i="1"/>
  <c r="Z102" i="1"/>
  <c r="Y102" i="1"/>
  <c r="X102" i="1"/>
  <c r="W102" i="1"/>
  <c r="L102" i="1"/>
  <c r="N102" i="1" s="1"/>
  <c r="Z101" i="1"/>
  <c r="Y101" i="1"/>
  <c r="X101" i="1"/>
  <c r="W101" i="1"/>
  <c r="N101" i="1"/>
  <c r="M101" i="1"/>
  <c r="L101" i="1"/>
  <c r="Z100" i="1"/>
  <c r="Y100" i="1"/>
  <c r="X100" i="1"/>
  <c r="W100" i="1"/>
  <c r="N100" i="1"/>
  <c r="L100" i="1"/>
  <c r="M100" i="1" s="1"/>
  <c r="Z99" i="1"/>
  <c r="Y99" i="1"/>
  <c r="X99" i="1"/>
  <c r="W99" i="1"/>
  <c r="N99" i="1"/>
  <c r="M99" i="1"/>
  <c r="L99" i="1"/>
  <c r="Z98" i="1"/>
  <c r="Y98" i="1"/>
  <c r="X98" i="1"/>
  <c r="W98" i="1"/>
  <c r="N98" i="1"/>
  <c r="L98" i="1"/>
  <c r="M98" i="1" s="1"/>
  <c r="Z97" i="1"/>
  <c r="Y97" i="1"/>
  <c r="X97" i="1"/>
  <c r="W97" i="1"/>
  <c r="L97" i="1"/>
  <c r="N97" i="1" s="1"/>
  <c r="Z96" i="1"/>
  <c r="Y96" i="1"/>
  <c r="X96" i="1"/>
  <c r="W96" i="1"/>
  <c r="N96" i="1"/>
  <c r="M96" i="1"/>
  <c r="L96" i="1"/>
  <c r="Z95" i="1"/>
  <c r="Y95" i="1"/>
  <c r="X95" i="1"/>
  <c r="W95" i="1"/>
  <c r="Z94" i="1"/>
  <c r="Y94" i="1"/>
  <c r="X94" i="1"/>
  <c r="W94" i="1"/>
  <c r="M94" i="1"/>
  <c r="L94" i="1"/>
  <c r="N94" i="1" s="1"/>
  <c r="Z93" i="1"/>
  <c r="Y93" i="1"/>
  <c r="X93" i="1"/>
  <c r="W93" i="1"/>
  <c r="L93" i="1"/>
  <c r="N93" i="1" s="1"/>
  <c r="Z92" i="1"/>
  <c r="Y92" i="1"/>
  <c r="X92" i="1"/>
  <c r="W92" i="1"/>
  <c r="N92" i="1"/>
  <c r="M92" i="1"/>
  <c r="L92" i="1"/>
  <c r="Z91" i="1"/>
  <c r="Y91" i="1"/>
  <c r="X91" i="1"/>
  <c r="W91" i="1"/>
  <c r="L91" i="1"/>
  <c r="N91" i="1" s="1"/>
  <c r="Z90" i="1"/>
  <c r="Y90" i="1"/>
  <c r="X90" i="1"/>
  <c r="W90" i="1"/>
  <c r="N90" i="1"/>
  <c r="L90" i="1"/>
  <c r="M90" i="1" s="1"/>
  <c r="Z89" i="1"/>
  <c r="Y89" i="1"/>
  <c r="X89" i="1"/>
  <c r="W89" i="1"/>
  <c r="M89" i="1"/>
  <c r="L89" i="1"/>
  <c r="N89" i="1" s="1"/>
  <c r="Z88" i="1"/>
  <c r="Y88" i="1"/>
  <c r="X88" i="1"/>
  <c r="W88" i="1"/>
  <c r="L88" i="1"/>
  <c r="N88" i="1" s="1"/>
  <c r="Z87" i="1"/>
  <c r="Y87" i="1"/>
  <c r="X87" i="1"/>
  <c r="W87" i="1"/>
  <c r="N87" i="1"/>
  <c r="M87" i="1"/>
  <c r="L87" i="1"/>
  <c r="Z86" i="1"/>
  <c r="Y86" i="1"/>
  <c r="X86" i="1"/>
  <c r="W86" i="1"/>
  <c r="L86" i="1"/>
  <c r="N86" i="1" s="1"/>
  <c r="Z85" i="1"/>
  <c r="Y85" i="1"/>
  <c r="X85" i="1"/>
  <c r="W85" i="1"/>
  <c r="N85" i="1"/>
  <c r="M85" i="1"/>
  <c r="L85" i="1"/>
  <c r="Z84" i="1"/>
  <c r="Y84" i="1"/>
  <c r="X84" i="1"/>
  <c r="W84" i="1"/>
  <c r="M84" i="1"/>
  <c r="L84" i="1"/>
  <c r="N84" i="1" s="1"/>
  <c r="Z83" i="1"/>
  <c r="Y83" i="1"/>
  <c r="X83" i="1"/>
  <c r="W83" i="1"/>
  <c r="L83" i="1"/>
  <c r="N83" i="1" s="1"/>
  <c r="Z82" i="1"/>
  <c r="Y82" i="1"/>
  <c r="X82" i="1"/>
  <c r="W82" i="1"/>
  <c r="N82" i="1"/>
  <c r="M82" i="1"/>
  <c r="L82" i="1"/>
  <c r="Z81" i="1"/>
  <c r="Y81" i="1"/>
  <c r="X81" i="1"/>
  <c r="W81" i="1"/>
  <c r="L81" i="1"/>
  <c r="N81" i="1" s="1"/>
  <c r="Z80" i="1"/>
  <c r="Y80" i="1"/>
  <c r="X80" i="1"/>
  <c r="W80" i="1"/>
  <c r="N80" i="1"/>
  <c r="M80" i="1"/>
  <c r="L80" i="1"/>
  <c r="Z79" i="1"/>
  <c r="Y79" i="1"/>
  <c r="X79" i="1"/>
  <c r="W79" i="1"/>
  <c r="N79" i="1"/>
  <c r="M79" i="1"/>
  <c r="L79" i="1"/>
  <c r="Z78" i="1"/>
  <c r="Y78" i="1"/>
  <c r="X78" i="1"/>
  <c r="W78" i="1"/>
  <c r="N78" i="1"/>
  <c r="L78" i="1"/>
  <c r="M78" i="1" s="1"/>
  <c r="Z77" i="1"/>
  <c r="Y77" i="1"/>
  <c r="X77" i="1"/>
  <c r="W77" i="1"/>
  <c r="N77" i="1"/>
  <c r="M77" i="1"/>
  <c r="L77" i="1"/>
  <c r="Z76" i="1"/>
  <c r="Y76" i="1"/>
  <c r="X76" i="1"/>
  <c r="W76" i="1"/>
  <c r="L76" i="1"/>
  <c r="N76" i="1" s="1"/>
  <c r="Z75" i="1"/>
  <c r="Y75" i="1"/>
  <c r="X75" i="1"/>
  <c r="W75" i="1"/>
  <c r="N75" i="1"/>
  <c r="M75" i="1"/>
  <c r="L75" i="1"/>
  <c r="Z74" i="1"/>
  <c r="Y74" i="1"/>
  <c r="X74" i="1"/>
  <c r="W74" i="1"/>
  <c r="N74" i="1"/>
  <c r="M74" i="1"/>
  <c r="L74" i="1"/>
  <c r="Z73" i="1"/>
  <c r="Y73" i="1"/>
  <c r="X73" i="1"/>
  <c r="W73" i="1"/>
  <c r="N73" i="1"/>
  <c r="L73" i="1"/>
  <c r="M73" i="1" s="1"/>
  <c r="Z72" i="1"/>
  <c r="Y72" i="1"/>
  <c r="X72" i="1"/>
  <c r="W72" i="1"/>
  <c r="N72" i="1"/>
  <c r="M72" i="1"/>
  <c r="L72" i="1"/>
  <c r="Z71" i="1"/>
  <c r="Y71" i="1"/>
  <c r="X71" i="1"/>
  <c r="W71" i="1"/>
  <c r="L71" i="1"/>
  <c r="N71" i="1" s="1"/>
  <c r="Z70" i="1"/>
  <c r="Y70" i="1"/>
  <c r="X70" i="1"/>
  <c r="W70" i="1"/>
  <c r="N70" i="1"/>
  <c r="M70" i="1"/>
  <c r="L70" i="1"/>
  <c r="Z69" i="1"/>
  <c r="Y69" i="1"/>
  <c r="X69" i="1"/>
  <c r="W69" i="1"/>
  <c r="N69" i="1"/>
  <c r="M69" i="1"/>
  <c r="L69" i="1"/>
  <c r="Z68" i="1"/>
  <c r="Y68" i="1"/>
  <c r="X68" i="1"/>
  <c r="W68" i="1"/>
  <c r="N68" i="1"/>
  <c r="L68" i="1"/>
  <c r="M68" i="1" s="1"/>
  <c r="Z67" i="1"/>
  <c r="Y67" i="1"/>
  <c r="X67" i="1"/>
  <c r="W67" i="1"/>
  <c r="N67" i="1"/>
  <c r="M67" i="1"/>
  <c r="L67" i="1"/>
  <c r="Z66" i="1"/>
  <c r="Y66" i="1"/>
  <c r="X66" i="1"/>
  <c r="W66" i="1"/>
  <c r="L66" i="1"/>
  <c r="N66" i="1" s="1"/>
  <c r="Z65" i="1"/>
  <c r="Y65" i="1"/>
  <c r="X65" i="1"/>
  <c r="W65" i="1"/>
  <c r="N65" i="1"/>
  <c r="M65" i="1"/>
  <c r="L65" i="1"/>
  <c r="Z64" i="1"/>
  <c r="Y64" i="1"/>
  <c r="X64" i="1"/>
  <c r="W64" i="1"/>
  <c r="N64" i="1"/>
  <c r="M64" i="1"/>
  <c r="L64" i="1"/>
  <c r="Z63" i="1"/>
  <c r="Y63" i="1"/>
  <c r="X63" i="1"/>
  <c r="W63" i="1"/>
  <c r="N63" i="1"/>
  <c r="L63" i="1"/>
  <c r="M63" i="1" s="1"/>
  <c r="Z62" i="1"/>
  <c r="Y62" i="1"/>
  <c r="X62" i="1"/>
  <c r="W62" i="1"/>
  <c r="N62" i="1"/>
  <c r="M62" i="1"/>
  <c r="L62" i="1"/>
  <c r="Z61" i="1"/>
  <c r="Y61" i="1"/>
  <c r="X61" i="1"/>
  <c r="W61" i="1"/>
  <c r="L61" i="1"/>
  <c r="N61" i="1" s="1"/>
  <c r="Z60" i="1"/>
  <c r="Y60" i="1"/>
  <c r="X60" i="1"/>
  <c r="W60" i="1"/>
  <c r="N60" i="1"/>
  <c r="M60" i="1"/>
  <c r="L60" i="1"/>
  <c r="Z59" i="1"/>
  <c r="Y59" i="1"/>
  <c r="X59" i="1"/>
  <c r="W59" i="1"/>
  <c r="N59" i="1"/>
  <c r="M59" i="1"/>
  <c r="L59" i="1"/>
  <c r="Z58" i="1"/>
  <c r="Y58" i="1"/>
  <c r="X58" i="1"/>
  <c r="W58" i="1"/>
  <c r="N58" i="1"/>
  <c r="L58" i="1"/>
  <c r="M58" i="1" s="1"/>
  <c r="Z57" i="1"/>
  <c r="Y57" i="1"/>
  <c r="X57" i="1"/>
  <c r="W57" i="1"/>
  <c r="N57" i="1"/>
  <c r="M57" i="1"/>
  <c r="L57" i="1"/>
  <c r="Z56" i="1"/>
  <c r="Y56" i="1"/>
  <c r="X56" i="1"/>
  <c r="W56" i="1"/>
  <c r="L56" i="1"/>
  <c r="N56" i="1" s="1"/>
  <c r="Z55" i="1"/>
  <c r="Y55" i="1"/>
  <c r="X55" i="1"/>
  <c r="W55" i="1"/>
  <c r="N55" i="1"/>
  <c r="M55" i="1"/>
  <c r="L55" i="1"/>
  <c r="Z54" i="1"/>
  <c r="Y54" i="1"/>
  <c r="X54" i="1"/>
  <c r="W54" i="1"/>
  <c r="N54" i="1"/>
  <c r="M54" i="1"/>
  <c r="L54" i="1"/>
  <c r="Z53" i="1"/>
  <c r="Y53" i="1"/>
  <c r="X53" i="1"/>
  <c r="W53" i="1"/>
  <c r="N53" i="1"/>
  <c r="L53" i="1"/>
  <c r="M53" i="1" s="1"/>
  <c r="Z52" i="1"/>
  <c r="Y52" i="1"/>
  <c r="X52" i="1"/>
  <c r="W52" i="1"/>
  <c r="N52" i="1"/>
  <c r="M52" i="1"/>
  <c r="L52" i="1"/>
  <c r="Z51" i="1"/>
  <c r="Y51" i="1"/>
  <c r="X51" i="1"/>
  <c r="W51" i="1"/>
  <c r="L51" i="1"/>
  <c r="N51" i="1" s="1"/>
  <c r="Z50" i="1"/>
  <c r="Y50" i="1"/>
  <c r="X50" i="1"/>
  <c r="W50" i="1"/>
  <c r="N50" i="1"/>
  <c r="M50" i="1"/>
  <c r="L50" i="1"/>
  <c r="Z49" i="1"/>
  <c r="Y49" i="1"/>
  <c r="X49" i="1"/>
  <c r="W49" i="1"/>
  <c r="N49" i="1"/>
  <c r="M49" i="1"/>
  <c r="L49" i="1"/>
  <c r="Z48" i="1"/>
  <c r="Y48" i="1"/>
  <c r="X48" i="1"/>
  <c r="W48" i="1"/>
  <c r="N48" i="1"/>
  <c r="L48" i="1"/>
  <c r="M48" i="1" s="1"/>
  <c r="Z47" i="1"/>
  <c r="Y47" i="1"/>
  <c r="X47" i="1"/>
  <c r="W47" i="1"/>
  <c r="N47" i="1"/>
  <c r="M47" i="1"/>
  <c r="L47" i="1"/>
  <c r="Z46" i="1"/>
  <c r="Y46" i="1"/>
  <c r="X46" i="1"/>
  <c r="W46" i="1"/>
  <c r="L46" i="1"/>
  <c r="N46" i="1" s="1"/>
  <c r="Z45" i="1"/>
  <c r="Y45" i="1"/>
  <c r="X45" i="1"/>
  <c r="W45" i="1"/>
  <c r="N45" i="1"/>
  <c r="M45" i="1"/>
  <c r="L45" i="1"/>
  <c r="Z44" i="1"/>
  <c r="Y44" i="1"/>
  <c r="X44" i="1"/>
  <c r="W44" i="1"/>
  <c r="N44" i="1"/>
  <c r="M44" i="1"/>
  <c r="L44" i="1"/>
  <c r="Z43" i="1"/>
  <c r="Y43" i="1"/>
  <c r="X43" i="1"/>
  <c r="W43" i="1"/>
  <c r="N43" i="1"/>
  <c r="L43" i="1"/>
  <c r="M43" i="1" s="1"/>
  <c r="Z42" i="1"/>
  <c r="Y42" i="1"/>
  <c r="X42" i="1"/>
  <c r="W42" i="1"/>
  <c r="N42" i="1"/>
  <c r="M42" i="1"/>
  <c r="L42" i="1"/>
  <c r="Z41" i="1"/>
  <c r="Y41" i="1"/>
  <c r="X41" i="1"/>
  <c r="W41" i="1"/>
  <c r="L41" i="1"/>
  <c r="N41" i="1" s="1"/>
  <c r="Z40" i="1"/>
  <c r="Y40" i="1"/>
  <c r="X40" i="1"/>
  <c r="W40" i="1"/>
  <c r="N40" i="1"/>
  <c r="M40" i="1"/>
  <c r="L40" i="1"/>
  <c r="Z39" i="1"/>
  <c r="Y39" i="1"/>
  <c r="X39" i="1"/>
  <c r="W39" i="1"/>
  <c r="N39" i="1"/>
  <c r="M39" i="1"/>
  <c r="L39" i="1"/>
  <c r="Z38" i="1"/>
  <c r="Y38" i="1"/>
  <c r="X38" i="1"/>
  <c r="W38" i="1"/>
  <c r="N38" i="1"/>
  <c r="L38" i="1"/>
  <c r="M38" i="1" s="1"/>
  <c r="Z37" i="1"/>
  <c r="Y37" i="1"/>
  <c r="X37" i="1"/>
  <c r="W37" i="1"/>
  <c r="N37" i="1"/>
  <c r="M37" i="1"/>
  <c r="L37" i="1"/>
  <c r="Z36" i="1"/>
  <c r="Y36" i="1"/>
  <c r="X36" i="1"/>
  <c r="W36" i="1"/>
  <c r="N36" i="1"/>
  <c r="L36" i="1"/>
  <c r="M36" i="1" s="1"/>
  <c r="Z35" i="1"/>
  <c r="Y35" i="1"/>
  <c r="X35" i="1"/>
  <c r="W35" i="1"/>
  <c r="N35" i="1"/>
  <c r="M35" i="1"/>
  <c r="L35" i="1"/>
  <c r="Z34" i="1"/>
  <c r="Y34" i="1"/>
  <c r="X34" i="1"/>
  <c r="W34" i="1"/>
  <c r="N34" i="1"/>
  <c r="M34" i="1"/>
  <c r="L34" i="1"/>
  <c r="Z33" i="1"/>
  <c r="Y33" i="1"/>
  <c r="X33" i="1"/>
  <c r="W33" i="1"/>
  <c r="N33" i="1"/>
  <c r="L33" i="1"/>
  <c r="M33" i="1" s="1"/>
  <c r="Z32" i="1"/>
  <c r="Y32" i="1"/>
  <c r="X32" i="1"/>
  <c r="W32" i="1"/>
  <c r="N32" i="1"/>
  <c r="M32" i="1"/>
  <c r="L32" i="1"/>
  <c r="Z31" i="1"/>
  <c r="Y31" i="1"/>
  <c r="X31" i="1"/>
  <c r="W31" i="1"/>
  <c r="N31" i="1"/>
  <c r="L31" i="1"/>
  <c r="M31" i="1" s="1"/>
  <c r="Z30" i="1"/>
  <c r="Y30" i="1"/>
  <c r="X30" i="1"/>
  <c r="W30" i="1"/>
  <c r="N30" i="1"/>
  <c r="M30" i="1"/>
  <c r="L30" i="1"/>
  <c r="Z29" i="1"/>
  <c r="Y29" i="1"/>
  <c r="X29" i="1"/>
  <c r="W29" i="1"/>
  <c r="Z28" i="1"/>
  <c r="Y28" i="1"/>
  <c r="X28" i="1"/>
  <c r="W28" i="1"/>
  <c r="L28" i="1"/>
  <c r="N28" i="1" s="1"/>
  <c r="Z27" i="1"/>
  <c r="Y27" i="1"/>
  <c r="X27" i="1"/>
  <c r="W27" i="1"/>
  <c r="L27" i="1"/>
  <c r="N27" i="1" s="1"/>
  <c r="Z26" i="1"/>
  <c r="Y26" i="1"/>
  <c r="X26" i="1"/>
  <c r="W26" i="1"/>
  <c r="N26" i="1"/>
  <c r="L26" i="1"/>
  <c r="M26" i="1" s="1"/>
  <c r="Z25" i="1"/>
  <c r="Y25" i="1"/>
  <c r="X25" i="1"/>
  <c r="W25" i="1"/>
  <c r="L25" i="1"/>
  <c r="N25" i="1" s="1"/>
  <c r="Z24" i="1"/>
  <c r="Y24" i="1"/>
  <c r="X24" i="1"/>
  <c r="W24" i="1"/>
  <c r="N24" i="1"/>
  <c r="L24" i="1"/>
  <c r="M24" i="1" s="1"/>
  <c r="Z23" i="1"/>
  <c r="Y23" i="1"/>
  <c r="X23" i="1"/>
  <c r="W23" i="1"/>
  <c r="L23" i="1"/>
  <c r="N23" i="1" s="1"/>
  <c r="Z22" i="1"/>
  <c r="Y22" i="1"/>
  <c r="X22" i="1"/>
  <c r="W22" i="1"/>
  <c r="L22" i="1"/>
  <c r="N22" i="1" s="1"/>
  <c r="Z21" i="1"/>
  <c r="Y21" i="1"/>
  <c r="X21" i="1"/>
  <c r="W21" i="1"/>
  <c r="N21" i="1"/>
  <c r="L21" i="1"/>
  <c r="M21" i="1" s="1"/>
  <c r="Z20" i="1"/>
  <c r="Y20" i="1"/>
  <c r="X20" i="1"/>
  <c r="W20" i="1"/>
  <c r="L20" i="1"/>
  <c r="N20" i="1" s="1"/>
  <c r="Z19" i="1"/>
  <c r="Y19" i="1"/>
  <c r="X19" i="1"/>
  <c r="W19" i="1"/>
  <c r="N19" i="1"/>
  <c r="L19" i="1"/>
  <c r="M19" i="1" s="1"/>
  <c r="Z18" i="1"/>
  <c r="Y18" i="1"/>
  <c r="X18" i="1"/>
  <c r="W18" i="1"/>
  <c r="L18" i="1"/>
  <c r="N18" i="1" s="1"/>
  <c r="Z17" i="1"/>
  <c r="Y17" i="1"/>
  <c r="X17" i="1"/>
  <c r="W17" i="1"/>
  <c r="L17" i="1"/>
  <c r="N17" i="1" s="1"/>
  <c r="Z16" i="1"/>
  <c r="Y16" i="1"/>
  <c r="X16" i="1"/>
  <c r="W16" i="1"/>
  <c r="Z15" i="1"/>
  <c r="Y15" i="1"/>
  <c r="X15" i="1"/>
  <c r="W15" i="1"/>
  <c r="L15" i="1"/>
  <c r="N15" i="1" s="1"/>
  <c r="Z14" i="1"/>
  <c r="Y14" i="1"/>
  <c r="X14" i="1"/>
  <c r="W14" i="1"/>
  <c r="M14" i="1"/>
  <c r="L14" i="1"/>
  <c r="N14" i="1" s="1"/>
  <c r="Z13" i="1"/>
  <c r="Y13" i="1"/>
  <c r="X13" i="1"/>
  <c r="W13" i="1"/>
  <c r="N13" i="1"/>
  <c r="M13" i="1"/>
  <c r="L13" i="1"/>
  <c r="Z12" i="1"/>
  <c r="Y12" i="1"/>
  <c r="X12" i="1"/>
  <c r="W12" i="1"/>
  <c r="M12" i="1"/>
  <c r="L12" i="1"/>
  <c r="N12" i="1" s="1"/>
  <c r="Z11" i="1"/>
  <c r="Y11" i="1"/>
  <c r="X11" i="1"/>
  <c r="W11" i="1"/>
  <c r="L11" i="1"/>
  <c r="N11" i="1" s="1"/>
  <c r="Z10" i="1"/>
  <c r="Y10" i="1"/>
  <c r="X10" i="1"/>
  <c r="W10" i="1"/>
  <c r="L10" i="1"/>
  <c r="N10" i="1" s="1"/>
  <c r="Z9" i="1"/>
  <c r="Y9" i="1"/>
  <c r="X9" i="1"/>
  <c r="W9" i="1"/>
  <c r="M9" i="1"/>
  <c r="L9" i="1"/>
  <c r="N9" i="1" s="1"/>
  <c r="Z8" i="1"/>
  <c r="Y8" i="1"/>
  <c r="X8" i="1"/>
  <c r="W8" i="1"/>
  <c r="N8" i="1"/>
  <c r="M8" i="1"/>
  <c r="L8" i="1"/>
  <c r="Z7" i="1"/>
  <c r="Y7" i="1"/>
  <c r="X7" i="1"/>
  <c r="W7" i="1"/>
  <c r="M7" i="1"/>
  <c r="L7" i="1"/>
  <c r="N7" i="1" s="1"/>
  <c r="Z6" i="1"/>
  <c r="Y6" i="1"/>
  <c r="X6" i="1"/>
  <c r="W6" i="1"/>
  <c r="M6" i="1"/>
  <c r="L6" i="1"/>
  <c r="N6" i="1" s="1"/>
  <c r="Z5" i="1"/>
  <c r="Y5" i="1"/>
  <c r="X5" i="1"/>
  <c r="W5" i="1"/>
  <c r="Z4" i="1"/>
  <c r="Y4" i="1"/>
  <c r="X4" i="1"/>
  <c r="W4" i="1"/>
  <c r="N4" i="1"/>
  <c r="M4" i="1"/>
  <c r="L4" i="1"/>
  <c r="Z3" i="1"/>
  <c r="Y3" i="1"/>
  <c r="X3" i="1"/>
  <c r="W3" i="1"/>
  <c r="L3" i="1"/>
  <c r="N3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Z2" i="1"/>
  <c r="Y2" i="1"/>
  <c r="X2" i="1"/>
  <c r="W2" i="1"/>
  <c r="N2" i="1"/>
  <c r="M2" i="1"/>
  <c r="L2" i="1"/>
  <c r="M17" i="1" l="1"/>
  <c r="M22" i="1"/>
  <c r="M27" i="1"/>
  <c r="M20" i="1"/>
  <c r="M25" i="1"/>
  <c r="M83" i="1"/>
  <c r="M88" i="1"/>
  <c r="M93" i="1"/>
  <c r="M10" i="1"/>
  <c r="M15" i="1"/>
  <c r="M18" i="1"/>
  <c r="M23" i="1"/>
  <c r="M28" i="1"/>
  <c r="M41" i="1"/>
  <c r="M46" i="1"/>
  <c r="M51" i="1"/>
  <c r="M56" i="1"/>
  <c r="M61" i="1"/>
  <c r="M66" i="1"/>
  <c r="M71" i="1"/>
  <c r="M76" i="1"/>
  <c r="M81" i="1"/>
  <c r="M86" i="1"/>
  <c r="M91" i="1"/>
  <c r="M3" i="1"/>
  <c r="M97" i="1"/>
  <c r="M102" i="1"/>
  <c r="M11" i="1"/>
</calcChain>
</file>

<file path=xl/sharedStrings.xml><?xml version="1.0" encoding="utf-8"?>
<sst xmlns="http://schemas.openxmlformats.org/spreadsheetml/2006/main" count="259" uniqueCount="193">
  <si>
    <t>No</t>
  </si>
  <si>
    <t>Location</t>
  </si>
  <si>
    <t>Date / Time</t>
  </si>
  <si>
    <t>Depth (M)</t>
  </si>
  <si>
    <t>Avg Depth (M)</t>
  </si>
  <si>
    <t>Air In (Bar)</t>
  </si>
  <si>
    <t>Air Out (Bar)</t>
  </si>
  <si>
    <t>Dive Time (Min)</t>
  </si>
  <si>
    <t>Cyl Size (Lt)</t>
  </si>
  <si>
    <t>Deco Time (Min)</t>
  </si>
  <si>
    <t>Buddy(s)</t>
  </si>
  <si>
    <t>Air used</t>
  </si>
  <si>
    <t>Lt/Min</t>
  </si>
  <si>
    <t>Avg
Lt/Min</t>
  </si>
  <si>
    <t>Temp (C')</t>
  </si>
  <si>
    <t>Vis (M)</t>
  </si>
  <si>
    <t>Qualifying</t>
  </si>
  <si>
    <t>Skill(s) Taught</t>
  </si>
  <si>
    <t>Instuction Duration</t>
  </si>
  <si>
    <t>SeaSearch Life (link)</t>
  </si>
  <si>
    <t>Nitrox (%)</t>
  </si>
  <si>
    <t>GPS</t>
  </si>
  <si>
    <t>Month</t>
  </si>
  <si>
    <t>Month Text</t>
  </si>
  <si>
    <t>Year</t>
  </si>
  <si>
    <t>Week No.</t>
  </si>
  <si>
    <t>Loch Fyne, The Bistro - Quarry Point
056-07.950N 005-13.625W</t>
  </si>
  <si>
    <t>Jeff King, Sandra Turner</t>
  </si>
  <si>
    <t>B&amp;T: Jeff aborted before descent
B&amp;T: Sandra couldn’t hold from 3m</t>
  </si>
  <si>
    <t>Loch Fyne, St Catherine's, 56'12.601N 005'03.360W</t>
  </si>
  <si>
    <t>Steve Pryor</t>
  </si>
  <si>
    <t>Loch Fyne, St Catherine's, 56'12.601N 005'03.360W</t>
  </si>
  <si>
    <t>Steve Pryor</t>
  </si>
  <si>
    <t>Loch Fyne, The Bistro - Quarry Point
056-07.950N 005-13.625W</t>
  </si>
  <si>
    <t>Mark Edwards</t>
  </si>
  <si>
    <t>DO5 – Pass</t>
  </si>
  <si>
    <t>Loch Fyne, The Bistro - Quarry Point
056-07.950N 005-13.625W</t>
  </si>
  <si>
    <t>Mark Edwards</t>
  </si>
  <si>
    <t>Loch Long, The Caves 56'10.799N 004'46.480W</t>
  </si>
  <si>
    <t>Steve Pryor</t>
  </si>
  <si>
    <t>Loch Long, The Caves 56'10.799N 004'46.480W</t>
  </si>
  <si>
    <t>Steve Pryor</t>
  </si>
  <si>
    <t>Loch Leven, Manse Point 56°40'45.970"N 5°09'26.392"W</t>
  </si>
  <si>
    <t>Frank McHarg</t>
  </si>
  <si>
    <t>Loch Leven, Manse Point 56°40'45.970"N 5°09'26.392"W</t>
  </si>
  <si>
    <t>Frank McHarg</t>
  </si>
  <si>
    <t>Loch Leven, Secret Site 056-40.860N 005-07.784W</t>
  </si>
  <si>
    <t>Kerry Mackay</t>
  </si>
  <si>
    <t>Loch Leven, Secret Site 056-40.860N 005-07.784W</t>
  </si>
  <si>
    <t>Kerry Mackay</t>
  </si>
  <si>
    <t xml:space="preserve">Loch Linnhe, Kentallen Wall 56' 40" 28N 5' 14" 37W </t>
  </si>
  <si>
    <t>Steve Pryor</t>
  </si>
  <si>
    <t xml:space="preserve">Loch Linnhe, Kentallen Wall 56' 40" 28N 5' 14" 37W </t>
  </si>
  <si>
    <t>Steve Pryor</t>
  </si>
  <si>
    <t>Fife, Prestonhill Quarry, 56°01'36.707"N 3°23'07.858"W</t>
  </si>
  <si>
    <t>James Hamilton</t>
  </si>
  <si>
    <t>Loch Fyne, The Bistro - Quarry Point
056-07.950N 005-13.625W</t>
  </si>
  <si>
    <t>Bob Barker</t>
  </si>
  <si>
    <t>DOP2 – Pass</t>
  </si>
  <si>
    <t>Loch Fyne, The Bistro - Quarry Point
056-07.950N 005-13.625W</t>
  </si>
  <si>
    <t>Louise Finlayson</t>
  </si>
  <si>
    <t>SO5 – Pass</t>
  </si>
  <si>
    <t>Loch Fyne, The Bistro - Quarry Point
056-07.950N 005-13.625W</t>
  </si>
  <si>
    <t>Caitlin McGee</t>
  </si>
  <si>
    <t>DO1 – Practice</t>
  </si>
  <si>
    <t>Thailand, Koh Lipe, Koh Talak North 6°29'22.099"N 99°19'51.341"E</t>
  </si>
  <si>
    <t>James Hamilton</t>
  </si>
  <si>
    <t>Thailand, Koh Lipe, Seven Rocks 6°28'36.048"N 99°21'40.716"E</t>
  </si>
  <si>
    <t>James Hamilton</t>
  </si>
  <si>
    <t>Thailand, Koh Lipe, Koh Talu 6°32'54.845"N 99°21'02.401"E</t>
  </si>
  <si>
    <t>James Hamilton</t>
  </si>
  <si>
    <t>Thailand, Koh Lipe, Koh Adang East 6°31'08.321"N 99°19'21.670"E</t>
  </si>
  <si>
    <t>James Hamilton</t>
  </si>
  <si>
    <t>Thailand, Koh Lipe, Koh Talak South 6°29'07.361"N 99°20'04.312"E</t>
  </si>
  <si>
    <t>James Hamilton</t>
  </si>
  <si>
    <t>Thailand, Koh Lipe, Stonehenge 6°28'55.387"N 99°20'13.582"E</t>
  </si>
  <si>
    <t>James Hamilton</t>
  </si>
  <si>
    <t>Thailand, Koh Lipe, Pakagem North 6°29'45.737"N 99°10'42.258"E</t>
  </si>
  <si>
    <t>James Hamilton</t>
  </si>
  <si>
    <t>Thailand, Koh Lipe, Pakagem South 6°29'32.536"N 99°10'39.785"E</t>
  </si>
  <si>
    <t>James Hamilton</t>
  </si>
  <si>
    <t>Thailand, Koh Lipe, The Steps 6°33'25.542"N 99°20'38.926"E</t>
  </si>
  <si>
    <t>James Hamilton</t>
  </si>
  <si>
    <t>Thailand, Koh Lipe, Stonehenge 6°28'55.387"N 99°20'13.582"E</t>
  </si>
  <si>
    <t>James Hamilton</t>
  </si>
  <si>
    <t>Thailand, Koh Lipe, Wk Yong Hua 6°29'05.518"N 99°16'22.458"E</t>
  </si>
  <si>
    <t>215, 200</t>
  </si>
  <si>
    <t>70, 150</t>
  </si>
  <si>
    <t>11, 11</t>
  </si>
  <si>
    <t>James Hamilton, Tim Lawrence</t>
  </si>
  <si>
    <t>1478.9 513.2</t>
  </si>
  <si>
    <t>12.5 18.6</t>
  </si>
  <si>
    <t>16.08 21.24</t>
  </si>
  <si>
    <t>Thailand, Koh Lipe, Koh Yang South Pt 6°32'23.838"N 99°15'41.364"E</t>
  </si>
  <si>
    <t>James Hamilton</t>
  </si>
  <si>
    <t>Thailand, Koh Lipe, Koh Yang South 6°32'25.681"N 99°15'32.404"E</t>
  </si>
  <si>
    <t>James Hamilton</t>
  </si>
  <si>
    <t>Thailand, Koh Lipe, Koh Lipe, South Pt 6°28'49.555"N 99°18'18.950"E</t>
  </si>
  <si>
    <t>James Hamilton</t>
  </si>
  <si>
    <t>Thailand, Koh Lipe, Pattaya Beach, Drop-off 6°29'04.600"N 99°17'59.485"E</t>
  </si>
  <si>
    <t>James Hamilton</t>
  </si>
  <si>
    <t>Thailand, Koh Lipe, Koh Talak North 6°29'22.099"N 99°19'51.341"E</t>
  </si>
  <si>
    <t>James Hamilton</t>
  </si>
  <si>
    <t>Thailand, Koh Lipe, The Steps 6°33'25.542"N 99°20'38.926"E</t>
  </si>
  <si>
    <t>James Hamilton</t>
  </si>
  <si>
    <t>Loch Fyne, Anchor Point, 056'02.373N 005'17.609W</t>
  </si>
  <si>
    <t>Andrew Gibson</t>
  </si>
  <si>
    <t>Loch Fyne, The Bistro - Quarry Point
056-07.950N 005-13.625W</t>
  </si>
  <si>
    <t>Elizabeth Dalley, Heather Todd</t>
  </si>
  <si>
    <t>B&amp;T Dive 1</t>
  </si>
  <si>
    <t>Loch Fyne, The Bistro - Quarry Point
056-07.950N 005-13.625W</t>
  </si>
  <si>
    <t>Heather Todd</t>
  </si>
  <si>
    <t>B&amp;T Dive 2: Gold</t>
  </si>
  <si>
    <t>Loch Long, Ardgarten Reef (Conger Alley)
056-12.334N 004-45.935W</t>
  </si>
  <si>
    <t>Steve Pryor</t>
  </si>
  <si>
    <t>Steve Pryor</t>
  </si>
  <si>
    <t>Loch Long, BP Point 056-07.078N 004-49.810W</t>
  </si>
  <si>
    <t>James Hamilton, Steve Pryor</t>
  </si>
  <si>
    <t>Loch Long, BP Point 056-07.078N 004-49.810W</t>
  </si>
  <si>
    <t>James Hamilton, Steve Pryor</t>
  </si>
  <si>
    <t>Loch Fyne, The Bistro - Quarry Point
056-07.950N 005-13.625W</t>
  </si>
  <si>
    <t>Leslie Goss</t>
  </si>
  <si>
    <t>DO1 – Practice</t>
  </si>
  <si>
    <t>Loch Fyne, The Bistro - Quarry Point
056-07.950N 005-13.625W</t>
  </si>
  <si>
    <t>Leslie Goss</t>
  </si>
  <si>
    <t>DO2 – Pass</t>
  </si>
  <si>
    <t>Loch Leven, The Slates 056-40.683N 005-08.678W</t>
  </si>
  <si>
    <t>Alistair Grierson</t>
  </si>
  <si>
    <t>Loch Leven, The Slates 056-40.683N 005-08.678W</t>
  </si>
  <si>
    <t>Alistair Grierson, Kyle Finnegan</t>
  </si>
  <si>
    <t>Loch Fyne, The Bistro - Quarry Point
056-07.950N 005-13.625W</t>
  </si>
  <si>
    <t>James Hamilton, Kerry MacKay</t>
  </si>
  <si>
    <t>DSMB, CBL – Practice</t>
  </si>
  <si>
    <t>Loch Fyne, The Bistro - Quarry Point
056-07.950N 005-13.625W</t>
  </si>
  <si>
    <t>James Hamilton, Kerry MacKay</t>
  </si>
  <si>
    <t>Kerry recorded data</t>
  </si>
  <si>
    <t>Loch Leven, Secret Site 056-40.860N 005-07.784W</t>
  </si>
  <si>
    <t>Frank McHarg, Steve Pryor</t>
  </si>
  <si>
    <t>Loch Leven, Secret Site 056-40.860N 005-07.784W</t>
  </si>
  <si>
    <t>Frank McHarg, Steve Pryor</t>
  </si>
  <si>
    <t>Loch Leven, Manse Point 56°40'45.970"N 5°09'26.392"W</t>
  </si>
  <si>
    <t>Steve Pryor</t>
  </si>
  <si>
    <t>SSAC: 30+ Dive</t>
  </si>
  <si>
    <t>Loch Leven, Manse Point 56°40'45.970"N 5°09'26.392"W</t>
  </si>
  <si>
    <t>Steve Pryor</t>
  </si>
  <si>
    <t>Loch Fyne, The Bistro - Quarry Point
056-07.950N 005-13.625W</t>
  </si>
  <si>
    <t>Louise Finlayson</t>
  </si>
  <si>
    <t>DO3 – Practise</t>
  </si>
  <si>
    <t>Loch Fyne, The Bistro - Quarry Point
056-07.950N 005-13.625W</t>
  </si>
  <si>
    <t>Louise Finlayson</t>
  </si>
  <si>
    <t>DO3 – Pass</t>
  </si>
  <si>
    <t>Loch Leven, Secret Site 056-40.860N 005-07.784W</t>
  </si>
  <si>
    <t>Frank McHarg</t>
  </si>
  <si>
    <t>Loch Leven, Secret Site 056-40.860N 005-07.784W</t>
  </si>
  <si>
    <t>Frank McHarg</t>
  </si>
  <si>
    <t>Loch Leven, The Slates 056-40.683N 005-08.678W</t>
  </si>
  <si>
    <t>Frank McHarg, Rab</t>
  </si>
  <si>
    <t>Loch Leven, The Slates 056-40.683N 005-08.678W</t>
  </si>
  <si>
    <t>Frank McHarg, Rab</t>
  </si>
  <si>
    <t>Caitlin McGee</t>
  </si>
  <si>
    <t>Michael Kenny, Chris Degnan</t>
  </si>
  <si>
    <t>Steve Pryor</t>
  </si>
  <si>
    <t>30m Plus dive</t>
  </si>
  <si>
    <t>Thailand, Koh Tao, Green Rock 10.121520N 99.809727E</t>
  </si>
  <si>
    <t>Master Divers</t>
  </si>
  <si>
    <t>Thailand, Koh Tao, Twin Peaks 10.082791N 99.823411E</t>
  </si>
  <si>
    <t>Thailand, Koh Tao, Champon Pinnical 10.082166N 99.823047E</t>
  </si>
  <si>
    <t>Thailand, Koh Tao, White Rock 10.082112N 99.822929E</t>
  </si>
  <si>
    <t>Thailand, Koh Tao, Japanese Gardens 10.082130N 99.823053E</t>
  </si>
  <si>
    <t>Thailand, Koh Tao, Red Rock 10.125173N 99.811358E</t>
  </si>
  <si>
    <t>Thailand, Koh Tao, Red Rock to Japanese Garden 10.082206N 99.823050E</t>
  </si>
  <si>
    <t>Thailand, Koh Tao, The Potteries 10.082206N 99.823050E</t>
  </si>
  <si>
    <t xml:space="preserve">Thailand, Koh Tao, Aow Leuk </t>
  </si>
  <si>
    <t xml:space="preserve">Thailand, Koh Tao, Hin Gnam </t>
  </si>
  <si>
    <t>Thailand, Koh Tao, King Kong 10.082021N 99.823034E</t>
  </si>
  <si>
    <t>Thailand, Koh Tao, Shark Rock 10.082021N 99.823034E</t>
  </si>
  <si>
    <t>Thailand, Koh Tao, Junkyard 10.082214N 99.823105E</t>
  </si>
  <si>
    <t>Thailand, Koh Tao, Wk HTMS Sattakut 10.083635N 99.825090E</t>
  </si>
  <si>
    <t>Thailand, Koh Tao, Mango Bay 10.082791N 99.823411E</t>
  </si>
  <si>
    <t>Thailand, Koh Tao, Lighthouse Bay 10.082791N 99.823411E</t>
  </si>
  <si>
    <t>Master Divers, Kiri Simons</t>
  </si>
  <si>
    <t>B&amp;T Dive 1</t>
  </si>
  <si>
    <t xml:space="preserve">Virginia Maria Donadeo </t>
  </si>
  <si>
    <t>Abort due to &lt;6'' vis</t>
  </si>
  <si>
    <t>Frank McHarg</t>
  </si>
  <si>
    <t>Daniel Blackley, Carl Meade</t>
  </si>
  <si>
    <t>B&amp;T Dive 2: Gold (Daniel)</t>
  </si>
  <si>
    <t>B&amp;T Dive 2: Unrated (Carl)</t>
  </si>
  <si>
    <t>Aborted: No regs</t>
  </si>
  <si>
    <t>Kenneth Wright</t>
  </si>
  <si>
    <t>Neck seal tight, suit leaking, aborted.</t>
  </si>
  <si>
    <t>New Drysuit</t>
  </si>
  <si>
    <t>Frank McHarg, Izzy Edwards Gary Edwards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</si>
</sst>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4" formatCode="d\-mmm\-yy\ h\:mm"/>
    <numFmt numFmtId="185" formatCode="mmm;@"/>
  </numFmts>
  <fonts count="4">
    <font>
      <sz val="10"/>
      <color rgb="FF000000"/>
      <name val="Arial"/>
      <family val="2"/>
    </font>
    <font>
      <sz val="10"/>
      <color rgb="FF000000"/>
      <name val="Ubuntu"/>
    </font>
    <font>
      <sz val="10"/>
      <color rgb="FF00000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top" wrapText="1"/>
      <extLst>
        <ext uri="smNativeData">
          <pm:cellMargin xmlns:pm="smNativeData" id="1598789607" l="40" r="40" t="40" b="40" textRotation="0"/>
        </ext>
      </extLst>
    </xf>
    <xf numFmtId="0" fontId="0" fillId="0" borderId="0" xfId="0" applyAlignment="1">
      <alignment vertical="center" wrapText="1"/>
      <extLst>
        <ext uri="smNativeData">
          <pm:cellMargin xmlns:pm="smNativeData" id="1598789607" l="40" r="40" t="40" b="40" textRotation="0"/>
        </ext>
      </extLst>
    </xf>
    <xf numFmtId="0" fontId="0" fillId="0" borderId="0" xfId="0" applyAlignment="1">
      <alignment horizontal="center" vertical="top" wrapText="1"/>
      <extLst>
        <ext uri="smNativeData">
          <pm:cellMargin xmlns:pm="smNativeData" id="1598789607" l="40" r="40" t="40" b="40" textRotation="0"/>
        </ext>
      </extLst>
    </xf>
    <xf numFmtId="0" fontId="0" fillId="0" borderId="0" xfId="0" applyAlignment="1">
      <alignment horizontal="center" vertical="center" wrapText="1"/>
      <extLst>
        <ext uri="smNativeData">
          <pm:cellMargin xmlns:pm="smNativeData" id="1598789607" l="40" r="40" t="40" b="40" textRotation="0"/>
        </ext>
      </extLst>
    </xf>
    <xf numFmtId="0" fontId="1" fillId="0" borderId="0" xfId="0" applyFont="1" applyAlignment="1">
      <alignment vertical="top" wrapText="1"/>
      <extLst>
        <ext uri="smNativeData">
          <pm:cellMargin xmlns:pm="smNativeData" id="1598789607" l="40" r="40" t="40" b="40" textRotation="0"/>
        </ext>
      </extLst>
    </xf>
    <xf numFmtId="0" fontId="2" fillId="2" borderId="1" xfId="0" applyFont="1" applyFill="1" applyBorder="1" applyAlignment="1">
      <alignment horizontal="center" vertical="center" wrapText="1"/>
      <extLst>
        <ext uri="smNativeData">
          <pm:cellMargin xmlns:pm="smNativeData" id="1598789607" l="40" r="40" t="40" b="40" textRotation="0"/>
        </ext>
      </extLst>
    </xf>
    <xf numFmtId="174" fontId="2" fillId="2" borderId="1" xfId="0" applyNumberFormat="1" applyFont="1" applyFill="1" applyBorder="1" applyAlignment="1">
      <alignment horizontal="center" vertical="center" wrapText="1"/>
      <extLst>
        <ext uri="smNativeData">
          <pm:cellMargin xmlns:pm="smNativeData" id="1598789607" l="40" r="40" t="40" b="40" textRotation="0"/>
        </ext>
      </extLst>
    </xf>
    <xf numFmtId="2" fontId="2" fillId="2" borderId="1" xfId="0" applyNumberFormat="1" applyFont="1" applyFill="1" applyBorder="1" applyAlignment="1">
      <alignment horizontal="center" vertical="center" wrapText="1"/>
      <extLst>
        <ext uri="smNativeData">
          <pm:cellMargin xmlns:pm="smNativeData" id="1598789607" l="40" r="40" t="40" b="40" textRotation="0"/>
        </ext>
      </extLst>
    </xf>
    <xf numFmtId="1" fontId="2" fillId="2" borderId="1" xfId="0" applyNumberFormat="1" applyFont="1" applyFill="1" applyBorder="1" applyAlignment="1">
      <alignment horizontal="center" vertical="center" wrapText="1"/>
      <extLst>
        <ext uri="smNativeData">
          <pm:cellMargin xmlns:pm="smNativeData" id="1598789607" l="40" r="40" t="40" b="40" textRotation="0"/>
        </ext>
      </extLst>
    </xf>
    <xf numFmtId="0" fontId="2" fillId="0" borderId="0" xfId="0" applyFont="1" applyAlignment="1">
      <alignment horizontal="left" vertical="center" wrapText="1"/>
      <extLst>
        <ext uri="smNativeData">
          <pm:cellMargin xmlns:pm="smNativeData" id="1598789607" l="40" r="40" t="40" b="40" textRotation="0"/>
        </ext>
      </extLst>
    </xf>
    <xf numFmtId="174" fontId="0" fillId="0" borderId="0" xfId="0" applyNumberFormat="1" applyAlignment="1">
      <alignment vertical="center" wrapText="1"/>
      <extLst>
        <ext uri="smNativeData">
          <pm:cellMargin xmlns:pm="smNativeData" id="1598789607" l="40" r="40" t="40" b="40" textRotation="0"/>
        </ext>
      </extLst>
    </xf>
    <xf numFmtId="1" fontId="0" fillId="0" borderId="0" xfId="0" applyNumberFormat="1" applyAlignment="1">
      <alignment horizontal="center" vertical="center" wrapText="1"/>
      <extLst>
        <ext uri="smNativeData">
          <pm:cellMargin xmlns:pm="smNativeData" id="1598789607" l="40" r="40" t="40" b="40" textRotation="0"/>
        </ext>
      </extLst>
    </xf>
    <xf numFmtId="2" fontId="0" fillId="0" borderId="0" xfId="0" applyNumberFormat="1" applyAlignment="1">
      <alignment horizontal="center" vertical="center" wrapText="1"/>
      <extLst>
        <ext uri="smNativeData">
          <pm:cellMargin xmlns:pm="smNativeData" id="1598789607" l="40" r="40" t="40" b="40" textRotation="0"/>
        </ext>
      </extLst>
    </xf>
    <xf numFmtId="0" fontId="3" fillId="0" borderId="0" xfId="0" applyFont="1" applyAlignment="1">
      <alignment vertical="center" wrapText="1"/>
      <extLst>
        <ext uri="smNativeData">
          <pm:cellMargin xmlns:pm="smNativeData" id="1598789607" l="40" r="40" t="40" b="40" textRotation="0"/>
        </ext>
      </extLst>
    </xf>
    <xf numFmtId="185" fontId="0" fillId="0" borderId="0" xfId="0" applyNumberFormat="1" applyAlignment="1">
      <alignment horizontal="center" vertical="center" wrapText="1"/>
      <extLst>
        <ext uri="smNativeData">
          <pm:cellMargin xmlns:pm="smNativeData" id="1598789607" l="40" r="40" t="40" b="40" textRotation="0"/>
        </ext>
      </extLst>
    </xf>
  </cellXfs>
  <cellStyles count="1">
    <cellStyle name="Normal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598789607" count="1">
        <pm:charStyle name="Normal" fontId="0" Id="1"/>
      </pm:charStyles>
      <pm:colors xmlns:pm="smNativeData" id="1598789607" count="12">
        <pm:color name="Colour 24" rgb="000E00"/>
        <pm:color name="Colour 25" rgb="1F497D"/>
        <pm:color name="Colour 26" rgb="C5000B"/>
        <pm:color name="Colour 27" rgb="00A000"/>
        <pm:color name="Colour 28" rgb="000E0F"/>
        <pm:color name="Colour 29" rgb="000E02"/>
        <pm:color name="Colour 30" rgb="000E0B"/>
        <pm:color name="Colour 31" rgb="95B3D7"/>
        <pm:color name="Colour 32" rgb="DCE6F1"/>
        <pm:color name="Colour 33" rgb="D8D8D8"/>
        <pm:color name="Colour 34" rgb="BFBFBF"/>
        <pm:color name="Colour 35" rgb="4F81BD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__Anonymous_Sheet_DB__0" displayName="__Anonymous_Sheet_DB__0" ref="A1:Z257" totalsRowShown="0">
  <autoFilter ref="A1:Z257"/>
  <tableColumns count="26">
    <tableColumn id="1" name="No" totalsRowLabel="Total"/>
    <tableColumn id="2" name="Location"/>
    <tableColumn id="3" name="Date / Time"/>
    <tableColumn id="4" name="Depth (M)"/>
    <tableColumn id="5" name="Avg Depth (M)"/>
    <tableColumn id="6" name="Air In (Bar)"/>
    <tableColumn id="7" name="Air Out (Bar)"/>
    <tableColumn id="8" name="Dive Time (Min)"/>
    <tableColumn id="9" name="Cyl Size (Lt)"/>
    <tableColumn id="10" name="Deco Time (Min)"/>
    <tableColumn id="11" name="Buddy(s)"/>
    <tableColumn id="12" name="Air used"/>
    <tableColumn id="13" name="Lt/Min"/>
    <tableColumn id="14" name="Avg_x000a_Lt/Min"/>
    <tableColumn id="15" name="Temp (C')"/>
    <tableColumn id="16" name="Vis (M)"/>
    <tableColumn id="17" name="Qualifying"/>
    <tableColumn id="18" name="Skill(s) Taught"/>
    <tableColumn id="19" name="Instuction Duration"/>
    <tableColumn id="20" name="SeaSearch Life (link)"/>
    <tableColumn id="21" name="Nitrox (%)"/>
    <tableColumn id="22" name="GPS"/>
    <tableColumn id="23" name="Month"/>
    <tableColumn id="24" name="Month Text"/>
    <tableColumn id="25" name="Year"/>
    <tableColumn id="26" name="Week No." totalsRowFunction="sum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DejaVu Sans"/>
        <a:cs typeface="DejaVu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757"/>
  <sheetViews>
    <sheetView tabSelected="1" workbookViewId="0">
      <pane ySplit="1" topLeftCell="A104" activePane="bottomLeft" state="frozen"/>
      <selection pane="bottomLeft" activeCell="D2" sqref="D2"/>
    </sheetView>
  </sheetViews>
  <sheetFormatPr defaultColWidth="10" defaultRowHeight="12.75"/>
  <cols>
    <col min="1" max="1" width="7.7109375" style="1" customWidth="1"/>
    <col min="2" max="2" width="26.85546875" style="1" customWidth="1"/>
    <col min="3" max="3" width="16.28515625" style="2" customWidth="1"/>
    <col min="4" max="4" width="6.140625" style="3" customWidth="1"/>
    <col min="5" max="5" width="7.85546875" style="3" customWidth="1"/>
    <col min="6" max="6" width="7" style="3" customWidth="1"/>
    <col min="7" max="7" width="6.28515625" style="3" customWidth="1"/>
    <col min="8" max="8" width="7.42578125" style="3" customWidth="1"/>
    <col min="9" max="9" width="7.85546875" style="3" customWidth="1"/>
    <col min="10" max="10" width="7.7109375" style="3" customWidth="1"/>
    <col min="11" max="11" width="17.140625" style="1" customWidth="1"/>
    <col min="12" max="12" width="7.140625" style="3" customWidth="1"/>
    <col min="13" max="13" width="6.7109375" style="3" customWidth="1"/>
    <col min="14" max="14" width="7.85546875" style="3" customWidth="1"/>
    <col min="15" max="15" width="6.5703125" style="4" customWidth="1"/>
    <col min="16" max="16" width="5.28515625" style="4" customWidth="1"/>
    <col min="17" max="17" width="22.28515625" style="1" customWidth="1"/>
    <col min="18" max="18" width="28.7109375" style="1" customWidth="1"/>
    <col min="19" max="19" width="9.85546875" style="4" customWidth="1"/>
    <col min="20" max="20" width="20.85546875" style="1" customWidth="1"/>
    <col min="21" max="21" width="7.7109375" style="4" customWidth="1"/>
    <col min="22" max="22" width="19" style="5" customWidth="1"/>
    <col min="23" max="24" width="7.7109375" style="3" customWidth="1"/>
    <col min="25" max="25" width="7.42578125" style="3" customWidth="1"/>
    <col min="26" max="26" width="9.5703125" style="3" customWidth="1"/>
    <col min="27" max="1025" width="8.7109375" style="1" customWidth="1"/>
  </cols>
  <sheetData>
    <row r="1" spans="1:1025" ht="38.25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8" t="s">
        <v>12</v>
      </c>
      <c r="N1" s="8" t="s">
        <v>13</v>
      </c>
      <c r="O1" s="9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9" t="s">
        <v>22</v>
      </c>
      <c r="X1" s="9" t="s">
        <v>23</v>
      </c>
      <c r="Y1" s="6" t="s">
        <v>24</v>
      </c>
      <c r="Z1" s="6" t="s">
        <v>25</v>
      </c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6"/>
      <c r="MT1" s="6"/>
      <c r="MU1" s="6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/>
      <c r="RC1" s="6"/>
      <c r="RD1" s="6"/>
      <c r="RE1" s="6"/>
      <c r="RF1" s="6"/>
      <c r="RG1" s="6"/>
      <c r="RH1" s="6"/>
      <c r="RI1" s="6"/>
      <c r="RJ1" s="6"/>
      <c r="RK1" s="6"/>
      <c r="RL1" s="6"/>
      <c r="RM1" s="6"/>
      <c r="RN1" s="6"/>
      <c r="RO1" s="6"/>
      <c r="RP1" s="6"/>
      <c r="RQ1" s="6"/>
      <c r="RR1" s="6"/>
      <c r="RS1" s="6"/>
      <c r="RT1" s="6"/>
      <c r="RU1" s="6"/>
      <c r="RV1" s="6"/>
      <c r="RW1" s="6"/>
      <c r="RX1" s="6"/>
      <c r="RY1" s="6"/>
      <c r="RZ1" s="6"/>
      <c r="SA1" s="6"/>
      <c r="SB1" s="6"/>
      <c r="SC1" s="6"/>
      <c r="SD1" s="6"/>
      <c r="SE1" s="6"/>
      <c r="SF1" s="6"/>
      <c r="SG1" s="6"/>
      <c r="SH1" s="6"/>
      <c r="SI1" s="6"/>
      <c r="SJ1" s="6"/>
      <c r="SK1" s="6"/>
      <c r="SL1" s="6"/>
      <c r="SM1" s="6"/>
      <c r="SN1" s="6"/>
      <c r="SO1" s="6"/>
      <c r="SP1" s="6"/>
      <c r="SQ1" s="6"/>
      <c r="SR1" s="6"/>
      <c r="SS1" s="6"/>
      <c r="ST1" s="6"/>
      <c r="SU1" s="6"/>
      <c r="SV1" s="6"/>
      <c r="SW1" s="6"/>
      <c r="SX1" s="6"/>
      <c r="SY1" s="6"/>
      <c r="SZ1" s="6"/>
      <c r="TA1" s="6"/>
      <c r="TB1" s="6"/>
      <c r="TC1" s="6"/>
      <c r="TD1" s="6"/>
      <c r="TE1" s="6"/>
      <c r="TF1" s="6"/>
      <c r="TG1" s="6"/>
      <c r="TH1" s="6"/>
      <c r="TI1" s="6"/>
      <c r="TJ1" s="6"/>
      <c r="TK1" s="6"/>
      <c r="TL1" s="6"/>
      <c r="TM1" s="6"/>
      <c r="TN1" s="6"/>
      <c r="TO1" s="6"/>
      <c r="TP1" s="6"/>
      <c r="TQ1" s="6"/>
      <c r="TR1" s="6"/>
      <c r="TS1" s="6"/>
      <c r="TT1" s="6"/>
      <c r="TU1" s="6"/>
      <c r="TV1" s="6"/>
      <c r="TW1" s="6"/>
      <c r="TX1" s="6"/>
      <c r="TY1" s="6"/>
      <c r="TZ1" s="6"/>
      <c r="UA1" s="6"/>
      <c r="UB1" s="6"/>
      <c r="UC1" s="6"/>
      <c r="UD1" s="6"/>
      <c r="UE1" s="6"/>
      <c r="UF1" s="6"/>
      <c r="UG1" s="6"/>
      <c r="UH1" s="6"/>
      <c r="UI1" s="6"/>
      <c r="UJ1" s="6"/>
      <c r="UK1" s="6"/>
      <c r="UL1" s="6"/>
      <c r="UM1" s="6"/>
      <c r="UN1" s="6"/>
      <c r="UO1" s="6"/>
      <c r="UP1" s="6"/>
      <c r="UQ1" s="6"/>
      <c r="UR1" s="6"/>
      <c r="US1" s="6"/>
      <c r="UT1" s="6"/>
      <c r="UU1" s="6"/>
      <c r="UV1" s="6"/>
      <c r="UW1" s="6"/>
      <c r="UX1" s="6"/>
      <c r="UY1" s="6"/>
      <c r="UZ1" s="6"/>
      <c r="VA1" s="6"/>
      <c r="VB1" s="6"/>
      <c r="VC1" s="6"/>
      <c r="VD1" s="6"/>
      <c r="VE1" s="6"/>
      <c r="VF1" s="6"/>
      <c r="VG1" s="6"/>
      <c r="VH1" s="6"/>
      <c r="VI1" s="6"/>
      <c r="VJ1" s="6"/>
      <c r="VK1" s="6"/>
      <c r="VL1" s="6"/>
      <c r="VM1" s="6"/>
      <c r="VN1" s="6"/>
      <c r="VO1" s="6"/>
      <c r="VP1" s="6"/>
      <c r="VQ1" s="6"/>
      <c r="VR1" s="6"/>
      <c r="VS1" s="6"/>
      <c r="VT1" s="6"/>
      <c r="VU1" s="6"/>
      <c r="VV1" s="6"/>
      <c r="VW1" s="6"/>
      <c r="VX1" s="6"/>
      <c r="VY1" s="6"/>
      <c r="VZ1" s="6"/>
      <c r="WA1" s="6"/>
      <c r="WB1" s="6"/>
      <c r="WC1" s="6"/>
      <c r="WD1" s="6"/>
      <c r="WE1" s="6"/>
      <c r="WF1" s="6"/>
      <c r="WG1" s="6"/>
      <c r="WH1" s="6"/>
      <c r="WI1" s="6"/>
      <c r="WJ1" s="6"/>
      <c r="WK1" s="6"/>
      <c r="WL1" s="6"/>
      <c r="WM1" s="6"/>
      <c r="WN1" s="6"/>
      <c r="WO1" s="6"/>
      <c r="WP1" s="6"/>
      <c r="WQ1" s="6"/>
      <c r="WR1" s="6"/>
      <c r="WS1" s="6"/>
      <c r="WT1" s="6"/>
      <c r="WU1" s="6"/>
      <c r="WV1" s="6"/>
      <c r="WW1" s="6"/>
      <c r="WX1" s="6"/>
      <c r="WY1" s="6"/>
      <c r="WZ1" s="6"/>
      <c r="XA1" s="6"/>
      <c r="XB1" s="6"/>
      <c r="XC1" s="6"/>
      <c r="XD1" s="6"/>
      <c r="XE1" s="6"/>
      <c r="XF1" s="6"/>
      <c r="XG1" s="6"/>
      <c r="XH1" s="6"/>
      <c r="XI1" s="6"/>
      <c r="XJ1" s="6"/>
      <c r="XK1" s="6"/>
      <c r="XL1" s="6"/>
      <c r="XM1" s="6"/>
      <c r="XN1" s="6"/>
      <c r="XO1" s="6"/>
      <c r="XP1" s="6"/>
      <c r="XQ1" s="6"/>
      <c r="XR1" s="6"/>
      <c r="XS1" s="6"/>
      <c r="XT1" s="6"/>
      <c r="XU1" s="6"/>
      <c r="XV1" s="6"/>
      <c r="XW1" s="6"/>
      <c r="XX1" s="6"/>
      <c r="XY1" s="6"/>
      <c r="XZ1" s="6"/>
      <c r="YA1" s="6"/>
      <c r="YB1" s="6"/>
      <c r="YC1" s="6"/>
      <c r="YD1" s="6"/>
      <c r="YE1" s="6"/>
      <c r="YF1" s="6"/>
      <c r="YG1" s="6"/>
      <c r="YH1" s="6"/>
      <c r="YI1" s="6"/>
      <c r="YJ1" s="6"/>
      <c r="YK1" s="6"/>
      <c r="YL1" s="6"/>
      <c r="YM1" s="6"/>
      <c r="YN1" s="6"/>
      <c r="YO1" s="6"/>
      <c r="YP1" s="6"/>
      <c r="YQ1" s="6"/>
      <c r="YR1" s="6"/>
      <c r="YS1" s="6"/>
      <c r="YT1" s="6"/>
      <c r="YU1" s="6"/>
      <c r="YV1" s="6"/>
      <c r="YW1" s="6"/>
      <c r="YX1" s="6"/>
      <c r="YY1" s="6"/>
      <c r="YZ1" s="6"/>
      <c r="ZA1" s="6"/>
      <c r="ZB1" s="6"/>
      <c r="ZC1" s="6"/>
      <c r="ZD1" s="6"/>
      <c r="ZE1" s="6"/>
      <c r="ZF1" s="6"/>
      <c r="ZG1" s="6"/>
      <c r="ZH1" s="6"/>
      <c r="ZI1" s="6"/>
      <c r="ZJ1" s="6"/>
      <c r="ZK1" s="6"/>
      <c r="ZL1" s="6"/>
      <c r="ZM1" s="6"/>
      <c r="ZN1" s="6"/>
      <c r="ZO1" s="6"/>
      <c r="ZP1" s="6"/>
      <c r="ZQ1" s="6"/>
      <c r="ZR1" s="6"/>
      <c r="ZS1" s="6"/>
      <c r="ZT1" s="6"/>
      <c r="ZU1" s="6"/>
      <c r="ZV1" s="6"/>
      <c r="ZW1" s="6"/>
      <c r="ZX1" s="6"/>
      <c r="ZY1" s="6"/>
      <c r="ZZ1" s="6"/>
      <c r="AAA1" s="6"/>
      <c r="AAB1" s="6"/>
      <c r="AAC1" s="6"/>
      <c r="AAD1" s="6"/>
      <c r="AAE1" s="6"/>
      <c r="AAF1" s="6"/>
      <c r="AAG1" s="6"/>
      <c r="AAH1" s="6"/>
      <c r="AAI1" s="6"/>
      <c r="AAJ1" s="6"/>
      <c r="AAK1" s="6"/>
      <c r="AAL1" s="6"/>
      <c r="AAM1" s="6"/>
      <c r="AAN1" s="6"/>
      <c r="AAO1" s="6"/>
      <c r="AAP1" s="6"/>
      <c r="AAQ1" s="6"/>
      <c r="AAR1" s="6"/>
      <c r="AAS1" s="6"/>
      <c r="AAT1" s="6"/>
      <c r="AAU1" s="6"/>
      <c r="AAV1" s="6"/>
      <c r="AAW1" s="6"/>
      <c r="AAX1" s="6"/>
      <c r="AAY1" s="6"/>
      <c r="AAZ1" s="6"/>
      <c r="ABA1" s="6"/>
      <c r="ABB1" s="6"/>
      <c r="ABC1" s="6"/>
      <c r="ABD1" s="6"/>
      <c r="ABE1" s="6"/>
      <c r="ABF1" s="6"/>
      <c r="ABG1" s="6"/>
      <c r="ABH1" s="6"/>
      <c r="ABI1" s="6"/>
      <c r="ABJ1" s="6"/>
      <c r="ABK1" s="6"/>
      <c r="ABL1" s="6"/>
      <c r="ABM1" s="6"/>
      <c r="ABN1" s="6"/>
      <c r="ABO1" s="6"/>
      <c r="ABP1" s="6"/>
      <c r="ABQ1" s="6"/>
      <c r="ABR1" s="6"/>
      <c r="ABS1" s="6"/>
      <c r="ABT1" s="6"/>
      <c r="ABU1" s="6"/>
      <c r="ABV1" s="6"/>
      <c r="ABW1" s="6"/>
      <c r="ABX1" s="6"/>
      <c r="ABY1" s="6"/>
      <c r="ABZ1" s="6"/>
      <c r="ACA1" s="6"/>
      <c r="ACB1" s="6"/>
      <c r="ACC1" s="6"/>
      <c r="ACD1" s="6"/>
      <c r="ACE1" s="6"/>
      <c r="ACF1" s="6"/>
      <c r="ACG1" s="6"/>
      <c r="ACH1" s="6"/>
      <c r="ACI1" s="6"/>
      <c r="ACJ1" s="6"/>
      <c r="ACK1" s="6"/>
      <c r="ACL1" s="6"/>
      <c r="ACM1" s="6"/>
      <c r="ACN1" s="6"/>
      <c r="ACO1" s="6"/>
      <c r="ACP1" s="6"/>
      <c r="ACQ1" s="6"/>
      <c r="ACR1" s="6"/>
      <c r="ACS1" s="6"/>
      <c r="ACT1" s="6"/>
      <c r="ACU1" s="6"/>
      <c r="ACV1" s="6"/>
      <c r="ACW1" s="6"/>
      <c r="ACX1" s="6"/>
      <c r="ACY1" s="6"/>
      <c r="ACZ1" s="6"/>
      <c r="ADA1" s="6"/>
      <c r="ADB1" s="6"/>
      <c r="ADC1" s="6"/>
      <c r="ADD1" s="6"/>
      <c r="ADE1" s="6"/>
      <c r="ADF1" s="6"/>
      <c r="ADG1" s="6"/>
      <c r="ADH1" s="6"/>
      <c r="ADI1" s="6"/>
      <c r="ADJ1" s="6"/>
      <c r="ADK1" s="6"/>
      <c r="ADL1" s="6"/>
      <c r="ADM1" s="6"/>
      <c r="ADN1" s="6"/>
      <c r="ADO1" s="6"/>
      <c r="ADP1" s="6"/>
      <c r="ADQ1" s="6"/>
      <c r="ADR1" s="6"/>
      <c r="ADS1" s="6"/>
      <c r="ADT1" s="6"/>
      <c r="ADU1" s="6"/>
      <c r="ADV1" s="6"/>
      <c r="ADW1" s="6"/>
      <c r="ADX1" s="6"/>
      <c r="ADY1" s="6"/>
      <c r="ADZ1" s="6"/>
      <c r="AEA1" s="6"/>
      <c r="AEB1" s="6"/>
      <c r="AEC1" s="6"/>
      <c r="AED1" s="6"/>
      <c r="AEE1" s="6"/>
      <c r="AEF1" s="6"/>
      <c r="AEG1" s="6"/>
      <c r="AEH1" s="6"/>
      <c r="AEI1" s="6"/>
      <c r="AEJ1" s="6"/>
      <c r="AEK1" s="6"/>
      <c r="AEL1" s="6"/>
      <c r="AEM1" s="6"/>
      <c r="AEN1" s="6"/>
      <c r="AEO1" s="6"/>
      <c r="AEP1" s="6"/>
      <c r="AEQ1" s="6"/>
      <c r="AER1" s="6"/>
      <c r="AES1" s="6"/>
      <c r="AET1" s="6"/>
      <c r="AEU1" s="6"/>
      <c r="AEV1" s="6"/>
      <c r="AEW1" s="6"/>
      <c r="AEX1" s="6"/>
      <c r="AEY1" s="6"/>
      <c r="AEZ1" s="6"/>
      <c r="AFA1" s="6"/>
      <c r="AFB1" s="6"/>
      <c r="AFC1" s="6"/>
      <c r="AFD1" s="6"/>
      <c r="AFE1" s="6"/>
      <c r="AFF1" s="6"/>
      <c r="AFG1" s="6"/>
      <c r="AFH1" s="6"/>
      <c r="AFI1" s="6"/>
      <c r="AFJ1" s="6"/>
      <c r="AFK1" s="6"/>
      <c r="AFL1" s="6"/>
      <c r="AFM1" s="6"/>
      <c r="AFN1" s="6"/>
      <c r="AFO1" s="6"/>
      <c r="AFP1" s="6"/>
      <c r="AFQ1" s="6"/>
      <c r="AFR1" s="6"/>
      <c r="AFS1" s="6"/>
      <c r="AFT1" s="6"/>
      <c r="AFU1" s="6"/>
      <c r="AFV1" s="6"/>
      <c r="AFW1" s="6"/>
      <c r="AFX1" s="6"/>
      <c r="AFY1" s="6"/>
      <c r="AFZ1" s="6"/>
      <c r="AGA1" s="6"/>
      <c r="AGB1" s="6"/>
      <c r="AGC1" s="6"/>
      <c r="AGD1" s="6"/>
      <c r="AGE1" s="6"/>
      <c r="AGF1" s="6"/>
      <c r="AGG1" s="6"/>
      <c r="AGH1" s="6"/>
      <c r="AGI1" s="6"/>
      <c r="AGJ1" s="6"/>
      <c r="AGK1" s="6"/>
      <c r="AGL1" s="6"/>
      <c r="AGM1" s="6"/>
      <c r="AGN1" s="6"/>
      <c r="AGO1" s="6"/>
      <c r="AGP1" s="6"/>
      <c r="AGQ1" s="6"/>
      <c r="AGR1" s="6"/>
      <c r="AGS1" s="6"/>
      <c r="AGT1" s="6"/>
      <c r="AGU1" s="6"/>
      <c r="AGV1" s="6"/>
      <c r="AGW1" s="6"/>
      <c r="AGX1" s="6"/>
      <c r="AGY1" s="6"/>
      <c r="AGZ1" s="6"/>
      <c r="AHA1" s="6"/>
      <c r="AHB1" s="6"/>
      <c r="AHC1" s="6"/>
      <c r="AHD1" s="6"/>
      <c r="AHE1" s="6"/>
      <c r="AHF1" s="6"/>
      <c r="AHG1" s="6"/>
      <c r="AHH1" s="6"/>
      <c r="AHI1" s="6"/>
      <c r="AHJ1" s="6"/>
      <c r="AHK1" s="6"/>
      <c r="AHL1" s="6"/>
      <c r="AHM1" s="6"/>
      <c r="AHN1" s="6"/>
      <c r="AHO1" s="6"/>
      <c r="AHP1" s="6"/>
      <c r="AHQ1" s="6"/>
      <c r="AHR1" s="6"/>
      <c r="AHS1" s="6"/>
      <c r="AHT1" s="6"/>
      <c r="AHU1" s="6"/>
      <c r="AHV1" s="6"/>
      <c r="AHW1" s="6"/>
      <c r="AHX1" s="6"/>
      <c r="AHY1" s="6"/>
      <c r="AHZ1" s="6"/>
      <c r="AIA1" s="6"/>
      <c r="AIB1" s="6"/>
      <c r="AIC1" s="6"/>
      <c r="AID1" s="6"/>
      <c r="AIE1" s="6"/>
      <c r="AIF1" s="6"/>
      <c r="AIG1" s="6"/>
      <c r="AIH1" s="6"/>
      <c r="AII1" s="6"/>
      <c r="AIJ1" s="6"/>
      <c r="AIK1" s="6"/>
      <c r="AIL1" s="6"/>
      <c r="AIM1" s="6"/>
      <c r="AIN1" s="6"/>
      <c r="AIO1" s="6"/>
      <c r="AIP1" s="6"/>
      <c r="AIQ1" s="6"/>
      <c r="AIR1" s="6"/>
      <c r="AIS1" s="6"/>
      <c r="AIT1" s="6"/>
      <c r="AIU1" s="6"/>
      <c r="AIV1" s="6"/>
      <c r="AIW1" s="6"/>
      <c r="AIX1" s="6"/>
      <c r="AIY1" s="6"/>
      <c r="AIZ1" s="6"/>
      <c r="AJA1" s="6"/>
      <c r="AJB1" s="6"/>
      <c r="AJC1" s="6"/>
      <c r="AJD1" s="6"/>
      <c r="AJE1" s="6"/>
      <c r="AJF1" s="6"/>
      <c r="AJG1" s="6"/>
      <c r="AJH1" s="6"/>
      <c r="AJI1" s="6"/>
      <c r="AJJ1" s="6"/>
      <c r="AJK1" s="6"/>
      <c r="AJL1" s="6"/>
      <c r="AJM1" s="6"/>
      <c r="AJN1" s="6"/>
      <c r="AJO1" s="6"/>
      <c r="AJP1" s="6"/>
      <c r="AJQ1" s="6"/>
      <c r="AJR1" s="6"/>
      <c r="AJS1" s="6"/>
      <c r="AJT1" s="6"/>
      <c r="AJU1" s="6"/>
      <c r="AJV1" s="6"/>
      <c r="AJW1" s="6"/>
      <c r="AJX1" s="6"/>
      <c r="AJY1" s="6"/>
      <c r="AJZ1" s="6"/>
      <c r="AKA1" s="6"/>
      <c r="AKB1" s="6"/>
      <c r="AKC1" s="6"/>
      <c r="AKD1" s="6"/>
      <c r="AKE1" s="6"/>
      <c r="AKF1" s="6"/>
      <c r="AKG1" s="6"/>
      <c r="AKH1" s="6"/>
      <c r="AKI1" s="6"/>
      <c r="AKJ1" s="6"/>
      <c r="AKK1" s="6"/>
      <c r="AKL1" s="6"/>
      <c r="AKM1" s="6"/>
      <c r="AKN1" s="6"/>
      <c r="AKO1" s="6"/>
      <c r="AKP1" s="6"/>
      <c r="AKQ1" s="6"/>
      <c r="AKR1" s="6"/>
      <c r="AKS1" s="6"/>
      <c r="AKT1" s="6"/>
      <c r="AKU1" s="6"/>
      <c r="AKV1" s="6"/>
      <c r="AKW1" s="6"/>
      <c r="AKX1" s="6"/>
      <c r="AKY1" s="6"/>
      <c r="AKZ1" s="6"/>
      <c r="ALA1" s="6"/>
      <c r="ALB1" s="6"/>
      <c r="ALC1" s="6"/>
      <c r="ALD1" s="6"/>
      <c r="ALE1" s="6"/>
      <c r="ALF1" s="6"/>
      <c r="ALG1" s="6"/>
      <c r="ALH1" s="6"/>
      <c r="ALI1" s="6"/>
      <c r="ALJ1" s="6"/>
      <c r="ALK1" s="6"/>
      <c r="ALL1" s="6"/>
      <c r="ALM1" s="6"/>
      <c r="ALN1" s="6"/>
      <c r="ALO1" s="6"/>
      <c r="ALP1" s="6"/>
      <c r="ALQ1" s="6"/>
      <c r="ALR1" s="6"/>
      <c r="ALS1" s="6"/>
      <c r="ALT1" s="6"/>
      <c r="ALU1" s="6"/>
      <c r="ALV1" s="6"/>
      <c r="ALW1" s="6"/>
      <c r="ALX1" s="6"/>
      <c r="ALY1" s="6"/>
      <c r="ALZ1" s="6"/>
      <c r="AMA1" s="6"/>
      <c r="AMB1" s="6"/>
      <c r="AMC1" s="6"/>
      <c r="AMD1" s="6"/>
      <c r="AME1" s="6"/>
      <c r="AMF1" s="6"/>
      <c r="AMG1" s="6"/>
      <c r="AMH1" s="6"/>
      <c r="AMI1" s="6"/>
      <c r="AMJ1" s="6"/>
      <c r="AMK1" s="6"/>
    </row>
    <row r="2" spans="1:1025" ht="38.25">
      <c r="A2" s="2">
        <v>1800</v>
      </c>
      <c r="B2" s="10" t="s">
        <v>26</v>
      </c>
      <c r="C2" s="11">
        <v>43414.527777777766</v>
      </c>
      <c r="D2" s="4">
        <v>16</v>
      </c>
      <c r="E2" s="4">
        <v>10.7</v>
      </c>
      <c r="F2" s="4">
        <v>199</v>
      </c>
      <c r="G2" s="4">
        <v>79</v>
      </c>
      <c r="H2" s="4">
        <v>39</v>
      </c>
      <c r="I2" s="4">
        <v>12</v>
      </c>
      <c r="J2" s="4">
        <v>6</v>
      </c>
      <c r="K2" s="2" t="s">
        <v>27</v>
      </c>
      <c r="L2" s="12">
        <f>(F2-G2)*I2</f>
        <v>1440</v>
      </c>
      <c r="M2" s="13">
        <f>L2/H2/((D2/10)+1)</f>
        <v>14.201183431952661</v>
      </c>
      <c r="N2" s="13">
        <f>L2/((E2/10)+1)/H2</f>
        <v>17.837235228539576</v>
      </c>
      <c r="O2" s="12">
        <v>10</v>
      </c>
      <c r="P2" s="12">
        <v>6</v>
      </c>
      <c r="Q2" s="2"/>
      <c r="R2" s="2" t="s">
        <v>28</v>
      </c>
      <c r="V2" s="1"/>
      <c r="W2" s="4">
        <f>MONTH(__Anonymous_Sheet_DB__0[[#This Row],[Date / Time]])</f>
        <v>11</v>
      </c>
      <c r="X2" s="15">
        <f>__Anonymous_Sheet_DB__0[[#This Row],[Date / Time]]</f>
        <v>43414.527777777766</v>
      </c>
      <c r="Y2" s="4">
        <f t="shared" ref="Y2:Y65" si="0">YEAR(C2)</f>
        <v>2018</v>
      </c>
      <c r="Z2" s="4">
        <f t="shared" ref="Z2:Z65" si="1">WEEKNUM(C2,1)</f>
        <v>45</v>
      </c>
    </row>
    <row r="3" spans="1:1025" ht="25.5">
      <c r="A3" s="2">
        <f t="shared" ref="A3:A34" si="2">A2+1</f>
        <v>1801</v>
      </c>
      <c r="B3" s="10" t="s">
        <v>29</v>
      </c>
      <c r="C3" s="11">
        <v>43429.486805555556</v>
      </c>
      <c r="D3" s="4">
        <v>25</v>
      </c>
      <c r="E3" s="4">
        <v>13.5</v>
      </c>
      <c r="F3" s="4">
        <v>282</v>
      </c>
      <c r="G3" s="4">
        <v>123</v>
      </c>
      <c r="H3" s="4">
        <v>52</v>
      </c>
      <c r="I3" s="4">
        <v>12</v>
      </c>
      <c r="J3" s="4">
        <v>3</v>
      </c>
      <c r="K3" s="2" t="s">
        <v>30</v>
      </c>
      <c r="L3" s="12">
        <f>(F3-G3)*I3</f>
        <v>1908</v>
      </c>
      <c r="M3" s="13">
        <f>L3/H3/((D3/10)+1)</f>
        <v>10.483516483516484</v>
      </c>
      <c r="N3" s="13">
        <f>L3/((E3/10)+1)/H3</f>
        <v>15.613747954173485</v>
      </c>
      <c r="O3" s="12">
        <v>9.5</v>
      </c>
      <c r="P3" s="12">
        <v>8</v>
      </c>
      <c r="Q3" s="2"/>
      <c r="R3" s="2"/>
      <c r="V3" s="1"/>
      <c r="W3" s="4">
        <f>MONTH(__Anonymous_Sheet_DB__0[[#This Row],[Date / Time]])</f>
        <v>11</v>
      </c>
      <c r="X3" s="15">
        <f>__Anonymous_Sheet_DB__0[[#This Row],[Date / Time]]</f>
        <v>43429.486805555556</v>
      </c>
      <c r="Y3" s="4">
        <f t="shared" si="0"/>
        <v>2018</v>
      </c>
      <c r="Z3" s="4">
        <f t="shared" si="1"/>
        <v>48</v>
      </c>
    </row>
    <row r="4" spans="1:1025" ht="25.5">
      <c r="A4" s="2">
        <f t="shared" si="2"/>
        <v>1802</v>
      </c>
      <c r="B4" s="10" t="s">
        <v>31</v>
      </c>
      <c r="C4" s="11">
        <v>43429.570833333324</v>
      </c>
      <c r="D4" s="4">
        <v>22</v>
      </c>
      <c r="E4" s="4">
        <v>13</v>
      </c>
      <c r="F4" s="4">
        <v>201</v>
      </c>
      <c r="G4" s="4">
        <v>81</v>
      </c>
      <c r="H4" s="4">
        <v>49</v>
      </c>
      <c r="I4" s="4">
        <v>12</v>
      </c>
      <c r="J4" s="4">
        <v>3</v>
      </c>
      <c r="K4" s="2" t="s">
        <v>32</v>
      </c>
      <c r="L4" s="12">
        <f>(F4-G4)*I4</f>
        <v>1440</v>
      </c>
      <c r="M4" s="13">
        <f>L4/H4/((D4/10)+1)</f>
        <v>9.1836734693877542</v>
      </c>
      <c r="N4" s="13">
        <f>L4/((E4/10)+1)/H4</f>
        <v>12.777284826974268</v>
      </c>
      <c r="O4" s="12">
        <v>9.1</v>
      </c>
      <c r="P4" s="12">
        <v>8</v>
      </c>
      <c r="Q4" s="2"/>
      <c r="R4" s="2"/>
      <c r="V4" s="1"/>
      <c r="W4" s="4">
        <f>MONTH(__Anonymous_Sheet_DB__0[[#This Row],[Date / Time]])</f>
        <v>11</v>
      </c>
      <c r="X4" s="15">
        <f>__Anonymous_Sheet_DB__0[[#This Row],[Date / Time]]</f>
        <v>43429.570833333324</v>
      </c>
      <c r="Y4" s="4">
        <f t="shared" si="0"/>
        <v>2018</v>
      </c>
      <c r="Z4" s="4">
        <f t="shared" si="1"/>
        <v>48</v>
      </c>
    </row>
    <row r="5" spans="1:1025" ht="38.25">
      <c r="A5" s="2">
        <f t="shared" si="2"/>
        <v>1803</v>
      </c>
      <c r="B5" s="10" t="s">
        <v>33</v>
      </c>
      <c r="C5" s="11">
        <v>43442.4375</v>
      </c>
      <c r="D5" s="4"/>
      <c r="E5" s="4"/>
      <c r="F5" s="4"/>
      <c r="G5" s="4"/>
      <c r="H5" s="4"/>
      <c r="I5" s="4"/>
      <c r="J5" s="4"/>
      <c r="K5" s="2" t="s">
        <v>34</v>
      </c>
      <c r="L5" s="12"/>
      <c r="M5" s="13"/>
      <c r="N5" s="13"/>
      <c r="O5" s="12"/>
      <c r="P5" s="12"/>
      <c r="Q5" s="2" t="s">
        <v>35</v>
      </c>
      <c r="R5" s="2"/>
      <c r="S5" s="4">
        <v>120</v>
      </c>
      <c r="V5" s="1"/>
      <c r="W5" s="4">
        <f>MONTH(__Anonymous_Sheet_DB__0[[#This Row],[Date / Time]])</f>
        <v>12</v>
      </c>
      <c r="X5" s="15">
        <f>__Anonymous_Sheet_DB__0[[#This Row],[Date / Time]]</f>
        <v>43442.4375</v>
      </c>
      <c r="Y5" s="4">
        <f t="shared" si="0"/>
        <v>2018</v>
      </c>
      <c r="Z5" s="4">
        <f t="shared" si="1"/>
        <v>49</v>
      </c>
    </row>
    <row r="6" spans="1:1025" ht="38.25">
      <c r="A6" s="2">
        <f t="shared" si="2"/>
        <v>1804</v>
      </c>
      <c r="B6" s="10" t="s">
        <v>36</v>
      </c>
      <c r="C6" s="11">
        <v>43442.559027777766</v>
      </c>
      <c r="D6" s="4">
        <v>12</v>
      </c>
      <c r="E6" s="4">
        <v>8</v>
      </c>
      <c r="F6" s="4">
        <v>186</v>
      </c>
      <c r="G6" s="4">
        <v>87</v>
      </c>
      <c r="H6" s="4">
        <v>48</v>
      </c>
      <c r="I6" s="4">
        <v>12</v>
      </c>
      <c r="J6" s="4">
        <v>3</v>
      </c>
      <c r="K6" s="2" t="s">
        <v>37</v>
      </c>
      <c r="L6" s="12">
        <f t="shared" ref="L6:L15" si="3">(F6-G6)*I6</f>
        <v>1188</v>
      </c>
      <c r="M6" s="13">
        <f t="shared" ref="M6:M15" si="4">L6/H6/((D6/10)+1)</f>
        <v>11.249999999999998</v>
      </c>
      <c r="N6" s="13">
        <f t="shared" ref="N6:N15" si="5">L6/((E6/10)+1)/H6</f>
        <v>13.75</v>
      </c>
      <c r="O6" s="12">
        <v>10</v>
      </c>
      <c r="P6" s="12">
        <v>6</v>
      </c>
      <c r="Q6" s="2"/>
      <c r="R6" s="2"/>
      <c r="V6" s="1"/>
      <c r="W6" s="4">
        <f>MONTH(__Anonymous_Sheet_DB__0[[#This Row],[Date / Time]])</f>
        <v>12</v>
      </c>
      <c r="X6" s="15">
        <f>__Anonymous_Sheet_DB__0[[#This Row],[Date / Time]]</f>
        <v>43442.559027777766</v>
      </c>
      <c r="Y6" s="4">
        <f t="shared" si="0"/>
        <v>2018</v>
      </c>
      <c r="Z6" s="4">
        <f t="shared" si="1"/>
        <v>49</v>
      </c>
    </row>
    <row r="7" spans="1:1025" ht="25.5">
      <c r="A7" s="2">
        <f t="shared" si="2"/>
        <v>1805</v>
      </c>
      <c r="B7" s="10" t="s">
        <v>38</v>
      </c>
      <c r="C7" s="11">
        <v>43457.400694444441</v>
      </c>
      <c r="D7" s="4">
        <v>24</v>
      </c>
      <c r="E7" s="4">
        <v>15.5</v>
      </c>
      <c r="F7" s="4">
        <v>267</v>
      </c>
      <c r="G7" s="4">
        <v>126</v>
      </c>
      <c r="H7" s="4">
        <v>44</v>
      </c>
      <c r="I7" s="4">
        <v>12</v>
      </c>
      <c r="J7" s="4">
        <v>3</v>
      </c>
      <c r="K7" s="2" t="s">
        <v>39</v>
      </c>
      <c r="L7" s="12">
        <f t="shared" si="3"/>
        <v>1692</v>
      </c>
      <c r="M7" s="13">
        <f t="shared" si="4"/>
        <v>11.310160427807487</v>
      </c>
      <c r="N7" s="13">
        <f t="shared" si="5"/>
        <v>15.080213903743317</v>
      </c>
      <c r="O7" s="12">
        <v>10</v>
      </c>
      <c r="P7" s="12">
        <v>5</v>
      </c>
      <c r="Q7" s="2"/>
      <c r="R7" s="2"/>
      <c r="V7" s="1"/>
      <c r="W7" s="4">
        <f>MONTH(__Anonymous_Sheet_DB__0[[#This Row],[Date / Time]])</f>
        <v>12</v>
      </c>
      <c r="X7" s="15">
        <f>__Anonymous_Sheet_DB__0[[#This Row],[Date / Time]]</f>
        <v>43457.400694444441</v>
      </c>
      <c r="Y7" s="4">
        <f t="shared" si="0"/>
        <v>2018</v>
      </c>
      <c r="Z7" s="4">
        <f t="shared" si="1"/>
        <v>52</v>
      </c>
    </row>
    <row r="8" spans="1:1025" ht="25.5">
      <c r="A8" s="2">
        <f t="shared" si="2"/>
        <v>1806</v>
      </c>
      <c r="B8" s="10" t="s">
        <v>40</v>
      </c>
      <c r="C8" s="11">
        <v>43457.46597222222</v>
      </c>
      <c r="D8" s="4">
        <v>21</v>
      </c>
      <c r="E8" s="4">
        <v>12.8</v>
      </c>
      <c r="F8" s="4">
        <v>202</v>
      </c>
      <c r="G8" s="4">
        <v>84</v>
      </c>
      <c r="H8" s="4">
        <v>47</v>
      </c>
      <c r="I8" s="4">
        <v>12</v>
      </c>
      <c r="J8" s="4">
        <v>3</v>
      </c>
      <c r="K8" s="2" t="s">
        <v>41</v>
      </c>
      <c r="L8" s="12">
        <f t="shared" si="3"/>
        <v>1416</v>
      </c>
      <c r="M8" s="13">
        <f t="shared" si="4"/>
        <v>9.7185998627316401</v>
      </c>
      <c r="N8" s="13">
        <f t="shared" si="5"/>
        <v>13.213885778275474</v>
      </c>
      <c r="O8" s="12">
        <v>10</v>
      </c>
      <c r="P8" s="12">
        <v>5</v>
      </c>
      <c r="Q8" s="2"/>
      <c r="R8" s="2"/>
      <c r="V8" s="1"/>
      <c r="W8" s="4">
        <f>MONTH(__Anonymous_Sheet_DB__0[[#This Row],[Date / Time]])</f>
        <v>12</v>
      </c>
      <c r="X8" s="15">
        <f>__Anonymous_Sheet_DB__0[[#This Row],[Date / Time]]</f>
        <v>43457.46597222222</v>
      </c>
      <c r="Y8" s="4">
        <f t="shared" si="0"/>
        <v>2018</v>
      </c>
      <c r="Z8" s="4">
        <f t="shared" si="1"/>
        <v>52</v>
      </c>
    </row>
    <row r="9" spans="1:1025" ht="25.5">
      <c r="A9" s="2">
        <f t="shared" si="2"/>
        <v>1807</v>
      </c>
      <c r="B9" s="10" t="s">
        <v>42</v>
      </c>
      <c r="C9" s="11">
        <v>43461.445833333324</v>
      </c>
      <c r="D9" s="4">
        <v>27</v>
      </c>
      <c r="E9" s="4">
        <v>14.2</v>
      </c>
      <c r="F9" s="4">
        <v>227</v>
      </c>
      <c r="G9" s="4">
        <v>119</v>
      </c>
      <c r="H9" s="4">
        <v>40</v>
      </c>
      <c r="I9" s="4">
        <v>12.2</v>
      </c>
      <c r="J9" s="4">
        <v>3</v>
      </c>
      <c r="K9" s="2" t="s">
        <v>43</v>
      </c>
      <c r="L9" s="12">
        <f t="shared" si="3"/>
        <v>1317.6</v>
      </c>
      <c r="M9" s="13">
        <f t="shared" si="4"/>
        <v>8.902702702702701</v>
      </c>
      <c r="N9" s="13">
        <f t="shared" si="5"/>
        <v>13.611570247933884</v>
      </c>
      <c r="O9" s="12">
        <v>9</v>
      </c>
      <c r="P9" s="12">
        <v>7</v>
      </c>
      <c r="Q9" s="2"/>
      <c r="R9" s="2"/>
      <c r="V9" s="1"/>
      <c r="W9" s="4">
        <f>MONTH(__Anonymous_Sheet_DB__0[[#This Row],[Date / Time]])</f>
        <v>12</v>
      </c>
      <c r="X9" s="15">
        <f>__Anonymous_Sheet_DB__0[[#This Row],[Date / Time]]</f>
        <v>43461.445833333324</v>
      </c>
      <c r="Y9" s="4">
        <f t="shared" si="0"/>
        <v>2018</v>
      </c>
      <c r="Z9" s="4">
        <f t="shared" si="1"/>
        <v>52</v>
      </c>
    </row>
    <row r="10" spans="1:1025" ht="25.5">
      <c r="A10" s="2">
        <f t="shared" si="2"/>
        <v>1808</v>
      </c>
      <c r="B10" s="10" t="s">
        <v>44</v>
      </c>
      <c r="C10" s="11">
        <v>43461.514583333315</v>
      </c>
      <c r="D10" s="4">
        <v>22</v>
      </c>
      <c r="E10" s="4">
        <v>13.3</v>
      </c>
      <c r="F10" s="4">
        <v>217</v>
      </c>
      <c r="G10" s="4">
        <v>98</v>
      </c>
      <c r="H10" s="4">
        <v>45</v>
      </c>
      <c r="I10" s="4">
        <v>12.2</v>
      </c>
      <c r="J10" s="4">
        <v>3</v>
      </c>
      <c r="K10" s="2" t="s">
        <v>45</v>
      </c>
      <c r="L10" s="12">
        <f t="shared" si="3"/>
        <v>1451.8</v>
      </c>
      <c r="M10" s="13">
        <f t="shared" si="4"/>
        <v>10.081944444444444</v>
      </c>
      <c r="N10" s="13">
        <f t="shared" si="5"/>
        <v>13.846447305674772</v>
      </c>
      <c r="O10" s="12">
        <v>9</v>
      </c>
      <c r="P10" s="12">
        <v>7</v>
      </c>
      <c r="Q10" s="2"/>
      <c r="R10" s="2"/>
      <c r="V10" s="1"/>
      <c r="W10" s="4">
        <f>MONTH(__Anonymous_Sheet_DB__0[[#This Row],[Date / Time]])</f>
        <v>12</v>
      </c>
      <c r="X10" s="15">
        <f>__Anonymous_Sheet_DB__0[[#This Row],[Date / Time]]</f>
        <v>43461.514583333315</v>
      </c>
      <c r="Y10" s="4">
        <f t="shared" si="0"/>
        <v>2018</v>
      </c>
      <c r="Z10" s="4">
        <f t="shared" si="1"/>
        <v>52</v>
      </c>
    </row>
    <row r="11" spans="1:1025" ht="25.5">
      <c r="A11" s="2">
        <f t="shared" si="2"/>
        <v>1809</v>
      </c>
      <c r="B11" s="10" t="s">
        <v>46</v>
      </c>
      <c r="C11" s="11">
        <v>43464.45</v>
      </c>
      <c r="D11" s="4">
        <v>19</v>
      </c>
      <c r="E11" s="4">
        <v>10.6</v>
      </c>
      <c r="F11" s="4">
        <v>255</v>
      </c>
      <c r="G11" s="4">
        <v>160</v>
      </c>
      <c r="H11" s="4">
        <v>28</v>
      </c>
      <c r="I11" s="4">
        <v>12</v>
      </c>
      <c r="J11" s="4">
        <v>3</v>
      </c>
      <c r="K11" s="2" t="s">
        <v>47</v>
      </c>
      <c r="L11" s="12">
        <f t="shared" si="3"/>
        <v>1140</v>
      </c>
      <c r="M11" s="13">
        <f t="shared" si="4"/>
        <v>14.039408866995075</v>
      </c>
      <c r="N11" s="13">
        <f t="shared" si="5"/>
        <v>19.764216366158113</v>
      </c>
      <c r="O11" s="12">
        <v>9</v>
      </c>
      <c r="P11" s="12">
        <v>6</v>
      </c>
      <c r="Q11" s="2"/>
      <c r="R11" s="2"/>
      <c r="V11" s="1"/>
      <c r="W11" s="4">
        <f>MONTH(__Anonymous_Sheet_DB__0[[#This Row],[Date / Time]])</f>
        <v>12</v>
      </c>
      <c r="X11" s="15">
        <f>__Anonymous_Sheet_DB__0[[#This Row],[Date / Time]]</f>
        <v>43464.45</v>
      </c>
      <c r="Y11" s="4">
        <f t="shared" si="0"/>
        <v>2018</v>
      </c>
      <c r="Z11" s="4">
        <f t="shared" si="1"/>
        <v>53</v>
      </c>
    </row>
    <row r="12" spans="1:1025" ht="25.5">
      <c r="A12" s="2">
        <f t="shared" si="2"/>
        <v>1810</v>
      </c>
      <c r="B12" s="10" t="s">
        <v>48</v>
      </c>
      <c r="C12" s="11">
        <v>43464.517361111109</v>
      </c>
      <c r="D12" s="4">
        <v>20</v>
      </c>
      <c r="E12" s="4">
        <v>12.9</v>
      </c>
      <c r="F12" s="4">
        <v>156</v>
      </c>
      <c r="G12" s="4">
        <v>54</v>
      </c>
      <c r="H12" s="4">
        <v>40</v>
      </c>
      <c r="I12" s="4">
        <v>12</v>
      </c>
      <c r="J12" s="4">
        <v>3</v>
      </c>
      <c r="K12" s="2" t="s">
        <v>49</v>
      </c>
      <c r="L12" s="12">
        <f t="shared" si="3"/>
        <v>1224</v>
      </c>
      <c r="M12" s="13">
        <f t="shared" si="4"/>
        <v>10.200000000000001</v>
      </c>
      <c r="N12" s="13">
        <f t="shared" si="5"/>
        <v>13.362445414847162</v>
      </c>
      <c r="O12" s="12">
        <v>9</v>
      </c>
      <c r="P12" s="12">
        <v>6</v>
      </c>
      <c r="Q12" s="2"/>
      <c r="R12" s="2"/>
      <c r="V12" s="1"/>
      <c r="W12" s="4">
        <f>MONTH(__Anonymous_Sheet_DB__0[[#This Row],[Date / Time]])</f>
        <v>12</v>
      </c>
      <c r="X12" s="15">
        <f>__Anonymous_Sheet_DB__0[[#This Row],[Date / Time]]</f>
        <v>43464.517361111109</v>
      </c>
      <c r="Y12" s="4">
        <f t="shared" si="0"/>
        <v>2018</v>
      </c>
      <c r="Z12" s="4">
        <f t="shared" si="1"/>
        <v>53</v>
      </c>
    </row>
    <row r="13" spans="1:1025" ht="25.5">
      <c r="A13" s="2">
        <f t="shared" si="2"/>
        <v>1811</v>
      </c>
      <c r="B13" s="10" t="s">
        <v>50</v>
      </c>
      <c r="C13" s="11">
        <v>43470.463194444441</v>
      </c>
      <c r="D13" s="4">
        <v>30</v>
      </c>
      <c r="E13" s="4">
        <v>14.3</v>
      </c>
      <c r="F13" s="4">
        <v>253</v>
      </c>
      <c r="G13" s="4">
        <v>88</v>
      </c>
      <c r="H13" s="4">
        <v>44</v>
      </c>
      <c r="I13" s="4">
        <v>12</v>
      </c>
      <c r="J13" s="4">
        <v>3</v>
      </c>
      <c r="K13" s="2" t="s">
        <v>51</v>
      </c>
      <c r="L13" s="12">
        <f t="shared" si="3"/>
        <v>1980</v>
      </c>
      <c r="M13" s="13">
        <f t="shared" si="4"/>
        <v>11.25</v>
      </c>
      <c r="N13" s="13">
        <f t="shared" si="5"/>
        <v>18.518518518518519</v>
      </c>
      <c r="O13" s="12">
        <v>9</v>
      </c>
      <c r="P13" s="12">
        <v>6</v>
      </c>
      <c r="Q13" s="2"/>
      <c r="R13" s="2"/>
      <c r="V13" s="1"/>
      <c r="W13" s="4">
        <f>MONTH(__Anonymous_Sheet_DB__0[[#This Row],[Date / Time]])</f>
        <v>1</v>
      </c>
      <c r="X13" s="15">
        <f>__Anonymous_Sheet_DB__0[[#This Row],[Date / Time]]</f>
        <v>43470.463194444441</v>
      </c>
      <c r="Y13" s="4">
        <f t="shared" si="0"/>
        <v>2019</v>
      </c>
      <c r="Z13" s="4">
        <f t="shared" si="1"/>
        <v>1</v>
      </c>
    </row>
    <row r="14" spans="1:1025" ht="25.5">
      <c r="A14" s="2">
        <f t="shared" si="2"/>
        <v>1812</v>
      </c>
      <c r="B14" s="10" t="s">
        <v>52</v>
      </c>
      <c r="C14" s="11">
        <v>43470.552777777782</v>
      </c>
      <c r="D14" s="4">
        <v>9</v>
      </c>
      <c r="E14" s="4">
        <v>6.4</v>
      </c>
      <c r="F14" s="4">
        <v>221</v>
      </c>
      <c r="G14" s="4">
        <v>132</v>
      </c>
      <c r="H14" s="4">
        <v>44</v>
      </c>
      <c r="I14" s="4">
        <v>12</v>
      </c>
      <c r="J14" s="4">
        <v>3</v>
      </c>
      <c r="K14" s="2" t="s">
        <v>53</v>
      </c>
      <c r="L14" s="12">
        <f t="shared" si="3"/>
        <v>1068</v>
      </c>
      <c r="M14" s="13">
        <f t="shared" si="4"/>
        <v>12.775119617224881</v>
      </c>
      <c r="N14" s="13">
        <f t="shared" si="5"/>
        <v>14.800443458980043</v>
      </c>
      <c r="O14" s="12">
        <v>9</v>
      </c>
      <c r="P14" s="12">
        <v>6</v>
      </c>
      <c r="Q14" s="2"/>
      <c r="R14" s="2"/>
      <c r="V14" s="1"/>
      <c r="W14" s="4">
        <f>MONTH(__Anonymous_Sheet_DB__0[[#This Row],[Date / Time]])</f>
        <v>1</v>
      </c>
      <c r="X14" s="15">
        <f>__Anonymous_Sheet_DB__0[[#This Row],[Date / Time]]</f>
        <v>43470.552777777782</v>
      </c>
      <c r="Y14" s="4">
        <f t="shared" si="0"/>
        <v>2019</v>
      </c>
      <c r="Z14" s="4">
        <f t="shared" si="1"/>
        <v>1</v>
      </c>
    </row>
    <row r="15" spans="1:1025" ht="25.5">
      <c r="A15" s="2">
        <f t="shared" si="2"/>
        <v>1813</v>
      </c>
      <c r="B15" s="10" t="s">
        <v>54</v>
      </c>
      <c r="C15" s="11">
        <v>43485.469444444447</v>
      </c>
      <c r="D15" s="4">
        <v>11</v>
      </c>
      <c r="E15" s="4">
        <v>9</v>
      </c>
      <c r="F15" s="4">
        <v>208</v>
      </c>
      <c r="G15" s="4">
        <v>93</v>
      </c>
      <c r="H15" s="4">
        <v>40</v>
      </c>
      <c r="I15" s="4">
        <v>10</v>
      </c>
      <c r="J15" s="4">
        <v>3</v>
      </c>
      <c r="K15" s="2" t="s">
        <v>55</v>
      </c>
      <c r="L15" s="12">
        <f t="shared" si="3"/>
        <v>1150</v>
      </c>
      <c r="M15" s="13">
        <f t="shared" si="4"/>
        <v>13.69047619047619</v>
      </c>
      <c r="N15" s="13">
        <f t="shared" si="5"/>
        <v>15.131578947368421</v>
      </c>
      <c r="O15" s="12">
        <v>4.5999999999999996</v>
      </c>
      <c r="P15" s="12">
        <v>4</v>
      </c>
      <c r="Q15" s="2"/>
      <c r="R15" s="2"/>
      <c r="V15" s="1"/>
      <c r="W15" s="4">
        <f>MONTH(__Anonymous_Sheet_DB__0[[#This Row],[Date / Time]])</f>
        <v>1</v>
      </c>
      <c r="X15" s="15">
        <f>__Anonymous_Sheet_DB__0[[#This Row],[Date / Time]]</f>
        <v>43485.469444444447</v>
      </c>
      <c r="Y15" s="4">
        <f t="shared" si="0"/>
        <v>2019</v>
      </c>
      <c r="Z15" s="4">
        <f t="shared" si="1"/>
        <v>4</v>
      </c>
    </row>
    <row r="16" spans="1:1025" ht="38.25">
      <c r="A16" s="2">
        <f t="shared" si="2"/>
        <v>1814</v>
      </c>
      <c r="B16" s="10" t="s">
        <v>56</v>
      </c>
      <c r="C16" s="11">
        <v>43512.40625</v>
      </c>
      <c r="D16" s="4"/>
      <c r="E16" s="4"/>
      <c r="F16" s="4"/>
      <c r="G16" s="4"/>
      <c r="H16" s="4"/>
      <c r="I16" s="4"/>
      <c r="J16" s="4"/>
      <c r="K16" s="2" t="s">
        <v>57</v>
      </c>
      <c r="L16" s="12"/>
      <c r="M16" s="13"/>
      <c r="N16" s="13"/>
      <c r="O16" s="12"/>
      <c r="P16" s="12"/>
      <c r="Q16" s="2" t="s">
        <v>58</v>
      </c>
      <c r="R16" s="2"/>
      <c r="S16" s="4">
        <v>600</v>
      </c>
      <c r="V16" s="1"/>
      <c r="W16" s="4">
        <f>MONTH(__Anonymous_Sheet_DB__0[[#This Row],[Date / Time]])</f>
        <v>2</v>
      </c>
      <c r="X16" s="15">
        <f>__Anonymous_Sheet_DB__0[[#This Row],[Date / Time]]</f>
        <v>43512.40625</v>
      </c>
      <c r="Y16" s="4">
        <f t="shared" si="0"/>
        <v>2019</v>
      </c>
      <c r="Z16" s="4">
        <f t="shared" si="1"/>
        <v>7</v>
      </c>
    </row>
    <row r="17" spans="1:26" ht="38.25">
      <c r="A17" s="2">
        <f t="shared" si="2"/>
        <v>1815</v>
      </c>
      <c r="B17" s="10" t="s">
        <v>59</v>
      </c>
      <c r="C17" s="11">
        <v>43512.479861111111</v>
      </c>
      <c r="D17" s="4">
        <v>13</v>
      </c>
      <c r="E17" s="4">
        <v>8.9</v>
      </c>
      <c r="F17" s="4">
        <v>259</v>
      </c>
      <c r="G17" s="4">
        <v>145</v>
      </c>
      <c r="H17" s="4">
        <v>37</v>
      </c>
      <c r="I17" s="4">
        <v>12</v>
      </c>
      <c r="J17" s="4">
        <v>3</v>
      </c>
      <c r="K17" s="2" t="s">
        <v>60</v>
      </c>
      <c r="L17" s="12">
        <f t="shared" ref="L17:L28" si="6">(F17-G17)*I17</f>
        <v>1368</v>
      </c>
      <c r="M17" s="13">
        <f t="shared" ref="M17:M28" si="7">L17/H17/((D17/10)+1)</f>
        <v>16.075205640423032</v>
      </c>
      <c r="N17" s="13">
        <f t="shared" ref="N17:N28" si="8">L17/((E17/10)+1)/H17</f>
        <v>19.56241956241956</v>
      </c>
      <c r="O17" s="12">
        <v>8</v>
      </c>
      <c r="P17" s="12">
        <v>5</v>
      </c>
      <c r="Q17" s="2" t="s">
        <v>61</v>
      </c>
      <c r="R17" s="2"/>
      <c r="S17" s="4">
        <v>60</v>
      </c>
      <c r="V17" s="1"/>
      <c r="W17" s="4">
        <f>MONTH(__Anonymous_Sheet_DB__0[[#This Row],[Date / Time]])</f>
        <v>2</v>
      </c>
      <c r="X17" s="15">
        <f>__Anonymous_Sheet_DB__0[[#This Row],[Date / Time]]</f>
        <v>43512.479861111111</v>
      </c>
      <c r="Y17" s="4">
        <f t="shared" si="0"/>
        <v>2019</v>
      </c>
      <c r="Z17" s="4">
        <f t="shared" si="1"/>
        <v>7</v>
      </c>
    </row>
    <row r="18" spans="1:26" ht="38.25">
      <c r="A18" s="2">
        <f t="shared" si="2"/>
        <v>1816</v>
      </c>
      <c r="B18" s="10" t="s">
        <v>62</v>
      </c>
      <c r="C18" s="11">
        <v>43512.577083333315</v>
      </c>
      <c r="D18" s="4">
        <v>18</v>
      </c>
      <c r="E18" s="4">
        <v>9.3000000000000007</v>
      </c>
      <c r="F18" s="4">
        <v>261</v>
      </c>
      <c r="G18" s="4">
        <v>78</v>
      </c>
      <c r="H18" s="4">
        <v>52</v>
      </c>
      <c r="I18" s="4">
        <v>12</v>
      </c>
      <c r="J18" s="4">
        <v>3</v>
      </c>
      <c r="K18" s="2" t="s">
        <v>63</v>
      </c>
      <c r="L18" s="12">
        <f t="shared" si="6"/>
        <v>2196</v>
      </c>
      <c r="M18" s="13">
        <f t="shared" si="7"/>
        <v>15.082417582417584</v>
      </c>
      <c r="N18" s="13">
        <f t="shared" si="8"/>
        <v>21.881227580709442</v>
      </c>
      <c r="O18" s="12">
        <v>8</v>
      </c>
      <c r="P18" s="12">
        <v>6</v>
      </c>
      <c r="Q18" s="2"/>
      <c r="R18" s="2" t="s">
        <v>64</v>
      </c>
      <c r="S18" s="4">
        <v>75</v>
      </c>
      <c r="V18" s="1"/>
      <c r="W18" s="4">
        <f>MONTH(__Anonymous_Sheet_DB__0[[#This Row],[Date / Time]])</f>
        <v>2</v>
      </c>
      <c r="X18" s="15">
        <f>__Anonymous_Sheet_DB__0[[#This Row],[Date / Time]]</f>
        <v>43512.577083333315</v>
      </c>
      <c r="Y18" s="4">
        <f t="shared" si="0"/>
        <v>2019</v>
      </c>
      <c r="Z18" s="4">
        <f t="shared" si="1"/>
        <v>7</v>
      </c>
    </row>
    <row r="19" spans="1:26" ht="38.25">
      <c r="A19" s="2">
        <f t="shared" si="2"/>
        <v>1817</v>
      </c>
      <c r="B19" s="10" t="s">
        <v>65</v>
      </c>
      <c r="C19" s="11">
        <v>43528.407638888886</v>
      </c>
      <c r="D19" s="4">
        <v>20</v>
      </c>
      <c r="E19" s="4">
        <v>10.5</v>
      </c>
      <c r="F19" s="4">
        <v>210</v>
      </c>
      <c r="G19" s="4">
        <v>84</v>
      </c>
      <c r="H19" s="4">
        <v>38</v>
      </c>
      <c r="I19" s="4">
        <v>11</v>
      </c>
      <c r="J19" s="4">
        <v>3</v>
      </c>
      <c r="K19" s="2" t="s">
        <v>66</v>
      </c>
      <c r="L19" s="12">
        <f t="shared" si="6"/>
        <v>1386</v>
      </c>
      <c r="M19" s="13">
        <f t="shared" si="7"/>
        <v>12.157894736842104</v>
      </c>
      <c r="N19" s="13">
        <f t="shared" si="8"/>
        <v>17.79204107830552</v>
      </c>
      <c r="O19" s="12">
        <v>28.9</v>
      </c>
      <c r="P19" s="12">
        <v>20</v>
      </c>
      <c r="Q19" s="2"/>
      <c r="R19" s="2"/>
      <c r="V19" s="1"/>
      <c r="W19" s="4">
        <f>MONTH(__Anonymous_Sheet_DB__0[[#This Row],[Date / Time]])</f>
        <v>3</v>
      </c>
      <c r="X19" s="15">
        <f>__Anonymous_Sheet_DB__0[[#This Row],[Date / Time]]</f>
        <v>43528.407638888886</v>
      </c>
      <c r="Y19" s="4">
        <f t="shared" si="0"/>
        <v>2019</v>
      </c>
      <c r="Z19" s="4">
        <f t="shared" si="1"/>
        <v>10</v>
      </c>
    </row>
    <row r="20" spans="1:26" ht="38.25">
      <c r="A20" s="2">
        <f t="shared" si="2"/>
        <v>1818</v>
      </c>
      <c r="B20" s="10" t="s">
        <v>67</v>
      </c>
      <c r="C20" s="11">
        <v>43528.468055555553</v>
      </c>
      <c r="D20" s="4">
        <v>13</v>
      </c>
      <c r="E20" s="4">
        <v>8.5</v>
      </c>
      <c r="F20" s="4">
        <v>194</v>
      </c>
      <c r="G20" s="4">
        <v>83</v>
      </c>
      <c r="H20" s="4">
        <v>46</v>
      </c>
      <c r="I20" s="4">
        <v>11</v>
      </c>
      <c r="J20" s="4">
        <v>3</v>
      </c>
      <c r="K20" s="2" t="s">
        <v>68</v>
      </c>
      <c r="L20" s="12">
        <f t="shared" si="6"/>
        <v>1221</v>
      </c>
      <c r="M20" s="13">
        <f t="shared" si="7"/>
        <v>11.540642722117203</v>
      </c>
      <c r="N20" s="13">
        <f t="shared" si="8"/>
        <v>14.347826086956522</v>
      </c>
      <c r="O20" s="12">
        <v>28.8</v>
      </c>
      <c r="P20" s="12">
        <v>10</v>
      </c>
      <c r="Q20" s="2"/>
      <c r="R20" s="2"/>
      <c r="V20" s="1"/>
      <c r="W20" s="4">
        <f>MONTH(__Anonymous_Sheet_DB__0[[#This Row],[Date / Time]])</f>
        <v>3</v>
      </c>
      <c r="X20" s="15">
        <f>__Anonymous_Sheet_DB__0[[#This Row],[Date / Time]]</f>
        <v>43528.468055555553</v>
      </c>
      <c r="Y20" s="4">
        <f t="shared" si="0"/>
        <v>2019</v>
      </c>
      <c r="Z20" s="4">
        <f t="shared" si="1"/>
        <v>10</v>
      </c>
    </row>
    <row r="21" spans="1:26" ht="25.5">
      <c r="A21" s="2">
        <f t="shared" si="2"/>
        <v>1819</v>
      </c>
      <c r="B21" s="10" t="s">
        <v>69</v>
      </c>
      <c r="C21" s="11">
        <v>43529.390972222223</v>
      </c>
      <c r="D21" s="4">
        <v>17</v>
      </c>
      <c r="E21" s="4">
        <v>10.4</v>
      </c>
      <c r="F21" s="4">
        <v>210</v>
      </c>
      <c r="G21" s="4">
        <v>88</v>
      </c>
      <c r="H21" s="4">
        <v>45</v>
      </c>
      <c r="I21" s="4">
        <v>11</v>
      </c>
      <c r="J21" s="4">
        <v>3</v>
      </c>
      <c r="K21" s="2" t="s">
        <v>70</v>
      </c>
      <c r="L21" s="12">
        <f t="shared" si="6"/>
        <v>1342</v>
      </c>
      <c r="M21" s="13">
        <f t="shared" si="7"/>
        <v>11.045267489711934</v>
      </c>
      <c r="N21" s="13">
        <f t="shared" si="8"/>
        <v>14.618736383442267</v>
      </c>
      <c r="O21" s="12">
        <v>29</v>
      </c>
      <c r="P21" s="12">
        <v>15</v>
      </c>
      <c r="Q21" s="2"/>
      <c r="R21" s="2"/>
      <c r="V21" s="1"/>
      <c r="W21" s="4">
        <f>MONTH(__Anonymous_Sheet_DB__0[[#This Row],[Date / Time]])</f>
        <v>3</v>
      </c>
      <c r="X21" s="15">
        <f>__Anonymous_Sheet_DB__0[[#This Row],[Date / Time]]</f>
        <v>43529.390972222223</v>
      </c>
      <c r="Y21" s="4">
        <f t="shared" si="0"/>
        <v>2019</v>
      </c>
      <c r="Z21" s="4">
        <f t="shared" si="1"/>
        <v>10</v>
      </c>
    </row>
    <row r="22" spans="1:26" ht="38.25">
      <c r="A22" s="2">
        <f t="shared" si="2"/>
        <v>1820</v>
      </c>
      <c r="B22" s="10" t="s">
        <v>71</v>
      </c>
      <c r="C22" s="11">
        <v>43529.457638888889</v>
      </c>
      <c r="D22" s="4">
        <v>16</v>
      </c>
      <c r="E22" s="4">
        <v>12</v>
      </c>
      <c r="F22" s="4">
        <v>206</v>
      </c>
      <c r="G22" s="4">
        <v>98</v>
      </c>
      <c r="H22" s="4">
        <v>30</v>
      </c>
      <c r="I22" s="4">
        <v>11</v>
      </c>
      <c r="J22" s="4">
        <v>3</v>
      </c>
      <c r="K22" s="2" t="s">
        <v>72</v>
      </c>
      <c r="L22" s="12">
        <f t="shared" si="6"/>
        <v>1188</v>
      </c>
      <c r="M22" s="13">
        <f t="shared" si="7"/>
        <v>15.23076923076923</v>
      </c>
      <c r="N22" s="13">
        <f t="shared" si="8"/>
        <v>18</v>
      </c>
      <c r="O22" s="12">
        <v>27.7</v>
      </c>
      <c r="P22" s="12">
        <v>20</v>
      </c>
      <c r="Q22" s="2"/>
      <c r="R22" s="2"/>
      <c r="V22" s="1"/>
      <c r="W22" s="4">
        <f>MONTH(__Anonymous_Sheet_DB__0[[#This Row],[Date / Time]])</f>
        <v>3</v>
      </c>
      <c r="X22" s="15">
        <f>__Anonymous_Sheet_DB__0[[#This Row],[Date / Time]]</f>
        <v>43529.457638888889</v>
      </c>
      <c r="Y22" s="4">
        <f t="shared" si="0"/>
        <v>2019</v>
      </c>
      <c r="Z22" s="4">
        <f t="shared" si="1"/>
        <v>10</v>
      </c>
    </row>
    <row r="23" spans="1:26" ht="38.25">
      <c r="A23" s="2">
        <f t="shared" si="2"/>
        <v>1821</v>
      </c>
      <c r="B23" s="10" t="s">
        <v>73</v>
      </c>
      <c r="C23" s="11">
        <v>43529.604861111111</v>
      </c>
      <c r="D23" s="4">
        <v>20</v>
      </c>
      <c r="E23" s="4">
        <v>11.2</v>
      </c>
      <c r="F23" s="4">
        <v>196</v>
      </c>
      <c r="G23" s="4">
        <v>68</v>
      </c>
      <c r="H23" s="4">
        <v>47</v>
      </c>
      <c r="I23" s="4">
        <v>11</v>
      </c>
      <c r="J23" s="4">
        <v>3</v>
      </c>
      <c r="K23" s="2" t="s">
        <v>74</v>
      </c>
      <c r="L23" s="12">
        <f t="shared" si="6"/>
        <v>1408</v>
      </c>
      <c r="M23" s="13">
        <f t="shared" si="7"/>
        <v>9.9858156028368796</v>
      </c>
      <c r="N23" s="13">
        <f t="shared" si="8"/>
        <v>14.130871136089922</v>
      </c>
      <c r="O23" s="12">
        <v>29</v>
      </c>
      <c r="P23" s="12">
        <v>15</v>
      </c>
      <c r="Q23" s="2"/>
      <c r="R23" s="2"/>
      <c r="V23" s="1"/>
      <c r="W23" s="4">
        <f>MONTH(__Anonymous_Sheet_DB__0[[#This Row],[Date / Time]])</f>
        <v>3</v>
      </c>
      <c r="X23" s="15">
        <f>__Anonymous_Sheet_DB__0[[#This Row],[Date / Time]]</f>
        <v>43529.604861111111</v>
      </c>
      <c r="Y23" s="4">
        <f t="shared" si="0"/>
        <v>2019</v>
      </c>
      <c r="Z23" s="4">
        <f t="shared" si="1"/>
        <v>10</v>
      </c>
    </row>
    <row r="24" spans="1:26" ht="38.25">
      <c r="A24" s="2">
        <f t="shared" si="2"/>
        <v>1822</v>
      </c>
      <c r="B24" s="10" t="s">
        <v>75</v>
      </c>
      <c r="C24" s="11">
        <v>43529.668749999997</v>
      </c>
      <c r="D24" s="4">
        <v>20</v>
      </c>
      <c r="E24" s="4">
        <v>10</v>
      </c>
      <c r="F24" s="4">
        <v>204</v>
      </c>
      <c r="G24" s="4">
        <v>59</v>
      </c>
      <c r="H24" s="4">
        <v>59</v>
      </c>
      <c r="I24" s="4">
        <v>11</v>
      </c>
      <c r="J24" s="4">
        <v>3</v>
      </c>
      <c r="K24" s="2" t="s">
        <v>76</v>
      </c>
      <c r="L24" s="12">
        <f t="shared" si="6"/>
        <v>1595</v>
      </c>
      <c r="M24" s="13">
        <f t="shared" si="7"/>
        <v>9.0112994350282491</v>
      </c>
      <c r="N24" s="13">
        <f t="shared" si="8"/>
        <v>13.516949152542374</v>
      </c>
      <c r="O24" s="12">
        <v>28.7</v>
      </c>
      <c r="P24" s="12">
        <v>15</v>
      </c>
      <c r="Q24" s="2"/>
      <c r="R24" s="2"/>
      <c r="V24" s="1"/>
      <c r="W24" s="4">
        <f>MONTH(__Anonymous_Sheet_DB__0[[#This Row],[Date / Time]])</f>
        <v>3</v>
      </c>
      <c r="X24" s="15">
        <f>__Anonymous_Sheet_DB__0[[#This Row],[Date / Time]]</f>
        <v>43529.668749999997</v>
      </c>
      <c r="Y24" s="4">
        <f t="shared" si="0"/>
        <v>2019</v>
      </c>
      <c r="Z24" s="4">
        <f t="shared" si="1"/>
        <v>10</v>
      </c>
    </row>
    <row r="25" spans="1:26" ht="38.25">
      <c r="A25" s="2">
        <f t="shared" si="2"/>
        <v>1823</v>
      </c>
      <c r="B25" s="10" t="s">
        <v>77</v>
      </c>
      <c r="C25" s="11">
        <v>43530.429861111115</v>
      </c>
      <c r="D25" s="4">
        <v>19</v>
      </c>
      <c r="E25" s="4">
        <v>10.1</v>
      </c>
      <c r="F25" s="4">
        <v>205</v>
      </c>
      <c r="G25" s="4">
        <v>46</v>
      </c>
      <c r="H25" s="4">
        <v>63</v>
      </c>
      <c r="I25" s="4">
        <v>11</v>
      </c>
      <c r="J25" s="4">
        <v>3</v>
      </c>
      <c r="K25" s="2" t="s">
        <v>78</v>
      </c>
      <c r="L25" s="12">
        <f t="shared" si="6"/>
        <v>1749</v>
      </c>
      <c r="M25" s="13">
        <f t="shared" si="7"/>
        <v>9.5730706075533671</v>
      </c>
      <c r="N25" s="13">
        <f t="shared" si="8"/>
        <v>13.81189291637053</v>
      </c>
      <c r="O25" s="12">
        <v>28.7</v>
      </c>
      <c r="P25" s="12">
        <v>20</v>
      </c>
      <c r="Q25" s="2"/>
      <c r="R25" s="2"/>
      <c r="V25" s="1"/>
      <c r="W25" s="4">
        <f>MONTH(__Anonymous_Sheet_DB__0[[#This Row],[Date / Time]])</f>
        <v>3</v>
      </c>
      <c r="X25" s="15">
        <f>__Anonymous_Sheet_DB__0[[#This Row],[Date / Time]]</f>
        <v>43530.429861111115</v>
      </c>
      <c r="Y25" s="4">
        <f t="shared" si="0"/>
        <v>2019</v>
      </c>
      <c r="Z25" s="4">
        <f t="shared" si="1"/>
        <v>10</v>
      </c>
    </row>
    <row r="26" spans="1:26" ht="38.25">
      <c r="A26" s="2">
        <f t="shared" si="2"/>
        <v>1824</v>
      </c>
      <c r="B26" s="10" t="s">
        <v>79</v>
      </c>
      <c r="C26" s="11">
        <v>43530.507638888885</v>
      </c>
      <c r="D26" s="4">
        <v>19</v>
      </c>
      <c r="E26" s="4">
        <v>12.4</v>
      </c>
      <c r="F26" s="4">
        <v>212</v>
      </c>
      <c r="G26" s="4">
        <v>62</v>
      </c>
      <c r="H26" s="4">
        <v>60</v>
      </c>
      <c r="I26" s="4">
        <v>11</v>
      </c>
      <c r="J26" s="4">
        <v>3</v>
      </c>
      <c r="K26" s="2" t="s">
        <v>80</v>
      </c>
      <c r="L26" s="12">
        <f t="shared" si="6"/>
        <v>1650</v>
      </c>
      <c r="M26" s="13">
        <f t="shared" si="7"/>
        <v>9.4827586206896548</v>
      </c>
      <c r="N26" s="13">
        <f t="shared" si="8"/>
        <v>12.276785714285714</v>
      </c>
      <c r="O26" s="12">
        <v>28.7</v>
      </c>
      <c r="P26" s="12">
        <v>20</v>
      </c>
      <c r="Q26" s="2"/>
      <c r="R26" s="2"/>
      <c r="V26" s="1"/>
      <c r="W26" s="4">
        <f>MONTH(__Anonymous_Sheet_DB__0[[#This Row],[Date / Time]])</f>
        <v>3</v>
      </c>
      <c r="X26" s="15">
        <f>__Anonymous_Sheet_DB__0[[#This Row],[Date / Time]]</f>
        <v>43530.507638888885</v>
      </c>
      <c r="Y26" s="4">
        <f t="shared" si="0"/>
        <v>2019</v>
      </c>
      <c r="Z26" s="4">
        <f t="shared" si="1"/>
        <v>10</v>
      </c>
    </row>
    <row r="27" spans="1:26" ht="25.5">
      <c r="A27" s="2">
        <f t="shared" si="2"/>
        <v>1825</v>
      </c>
      <c r="B27" s="10" t="s">
        <v>81</v>
      </c>
      <c r="C27" s="11">
        <v>43531.379166666666</v>
      </c>
      <c r="D27" s="4">
        <v>18</v>
      </c>
      <c r="E27" s="4">
        <v>11.6</v>
      </c>
      <c r="F27" s="4">
        <v>197</v>
      </c>
      <c r="G27" s="4">
        <v>77</v>
      </c>
      <c r="H27" s="4">
        <v>49</v>
      </c>
      <c r="I27" s="4">
        <v>11</v>
      </c>
      <c r="J27" s="4">
        <v>3</v>
      </c>
      <c r="K27" s="2" t="s">
        <v>82</v>
      </c>
      <c r="L27" s="12">
        <f t="shared" si="6"/>
        <v>1320</v>
      </c>
      <c r="M27" s="13">
        <f t="shared" si="7"/>
        <v>9.6209912536443145</v>
      </c>
      <c r="N27" s="13">
        <f t="shared" si="8"/>
        <v>12.471655328798185</v>
      </c>
      <c r="O27" s="12">
        <v>28.2</v>
      </c>
      <c r="P27" s="12">
        <v>20</v>
      </c>
      <c r="Q27" s="2"/>
      <c r="R27" s="2"/>
      <c r="V27" s="1"/>
      <c r="W27" s="4">
        <f>MONTH(__Anonymous_Sheet_DB__0[[#This Row],[Date / Time]])</f>
        <v>3</v>
      </c>
      <c r="X27" s="15">
        <f>__Anonymous_Sheet_DB__0[[#This Row],[Date / Time]]</f>
        <v>43531.379166666666</v>
      </c>
      <c r="Y27" s="4">
        <f t="shared" si="0"/>
        <v>2019</v>
      </c>
      <c r="Z27" s="4">
        <f t="shared" si="1"/>
        <v>10</v>
      </c>
    </row>
    <row r="28" spans="1:26" ht="38.25">
      <c r="A28" s="2">
        <f t="shared" si="2"/>
        <v>1826</v>
      </c>
      <c r="B28" s="10" t="s">
        <v>83</v>
      </c>
      <c r="C28" s="11">
        <v>43531.446527777778</v>
      </c>
      <c r="D28" s="4">
        <v>17</v>
      </c>
      <c r="E28" s="4">
        <v>11.5</v>
      </c>
      <c r="F28" s="4">
        <v>194</v>
      </c>
      <c r="G28" s="4">
        <v>82</v>
      </c>
      <c r="H28" s="4">
        <v>44</v>
      </c>
      <c r="I28" s="4">
        <v>11</v>
      </c>
      <c r="J28" s="4">
        <v>3</v>
      </c>
      <c r="K28" s="2" t="s">
        <v>84</v>
      </c>
      <c r="L28" s="12">
        <f t="shared" si="6"/>
        <v>1232</v>
      </c>
      <c r="M28" s="13">
        <f t="shared" si="7"/>
        <v>10.37037037037037</v>
      </c>
      <c r="N28" s="13">
        <f t="shared" si="8"/>
        <v>13.023255813953488</v>
      </c>
      <c r="O28" s="12">
        <v>28</v>
      </c>
      <c r="P28" s="12">
        <v>20</v>
      </c>
      <c r="Q28" s="2"/>
      <c r="R28" s="2"/>
      <c r="V28" s="1"/>
      <c r="W28" s="4">
        <f>MONTH(__Anonymous_Sheet_DB__0[[#This Row],[Date / Time]])</f>
        <v>3</v>
      </c>
      <c r="X28" s="15">
        <f>__Anonymous_Sheet_DB__0[[#This Row],[Date / Time]]</f>
        <v>43531.446527777778</v>
      </c>
      <c r="Y28" s="4">
        <f t="shared" si="0"/>
        <v>2019</v>
      </c>
      <c r="Z28" s="4">
        <f t="shared" si="1"/>
        <v>10</v>
      </c>
    </row>
    <row r="29" spans="1:26" ht="38.25">
      <c r="A29" s="2">
        <f t="shared" si="2"/>
        <v>1827</v>
      </c>
      <c r="B29" s="10" t="s">
        <v>85</v>
      </c>
      <c r="C29" s="11">
        <v>43532.554861111115</v>
      </c>
      <c r="D29" s="4">
        <v>36</v>
      </c>
      <c r="E29" s="4">
        <v>22</v>
      </c>
      <c r="F29" s="4" t="s">
        <v>86</v>
      </c>
      <c r="G29" s="4" t="s">
        <v>87</v>
      </c>
      <c r="H29" s="4">
        <v>45</v>
      </c>
      <c r="I29" s="4" t="s">
        <v>88</v>
      </c>
      <c r="J29" s="4">
        <v>3</v>
      </c>
      <c r="K29" s="2" t="s">
        <v>89</v>
      </c>
      <c r="L29" s="12" t="s">
        <v>90</v>
      </c>
      <c r="M29" s="13" t="s">
        <v>91</v>
      </c>
      <c r="N29" s="13" t="s">
        <v>92</v>
      </c>
      <c r="O29" s="12">
        <v>28.2</v>
      </c>
      <c r="P29" s="12">
        <v>5</v>
      </c>
      <c r="Q29" s="2"/>
      <c r="R29" s="2"/>
      <c r="V29" s="1"/>
      <c r="W29" s="4">
        <f>MONTH(__Anonymous_Sheet_DB__0[[#This Row],[Date / Time]])</f>
        <v>3</v>
      </c>
      <c r="X29" s="15">
        <f>__Anonymous_Sheet_DB__0[[#This Row],[Date / Time]]</f>
        <v>43532.554861111115</v>
      </c>
      <c r="Y29" s="4">
        <f t="shared" si="0"/>
        <v>2019</v>
      </c>
      <c r="Z29" s="4">
        <f t="shared" si="1"/>
        <v>10</v>
      </c>
    </row>
    <row r="30" spans="1:26" ht="38.25">
      <c r="A30" s="2">
        <f t="shared" si="2"/>
        <v>1828</v>
      </c>
      <c r="B30" s="10" t="s">
        <v>93</v>
      </c>
      <c r="C30" s="11">
        <v>43533.414583333324</v>
      </c>
      <c r="D30" s="4">
        <v>17</v>
      </c>
      <c r="E30" s="4">
        <v>11.9</v>
      </c>
      <c r="F30" s="4">
        <v>206</v>
      </c>
      <c r="G30" s="4">
        <v>56</v>
      </c>
      <c r="H30" s="4">
        <v>65</v>
      </c>
      <c r="I30" s="4">
        <v>11</v>
      </c>
      <c r="J30" s="4">
        <v>3</v>
      </c>
      <c r="K30" s="2" t="s">
        <v>94</v>
      </c>
      <c r="L30" s="12">
        <f t="shared" ref="L30:L61" si="9">(F30-G30)*I30</f>
        <v>1650</v>
      </c>
      <c r="M30" s="13">
        <f t="shared" ref="M30:M61" si="10">L30/H30/((D30/10)+1)</f>
        <v>9.4017094017094003</v>
      </c>
      <c r="N30" s="13">
        <f t="shared" ref="N30:N61" si="11">L30/((E30/10)+1)/H30</f>
        <v>11.591148577449948</v>
      </c>
      <c r="O30" s="12">
        <v>28.3</v>
      </c>
      <c r="P30" s="12">
        <v>20</v>
      </c>
      <c r="Q30" s="2"/>
      <c r="R30" s="2"/>
      <c r="V30" s="1"/>
      <c r="W30" s="4">
        <f>MONTH(__Anonymous_Sheet_DB__0[[#This Row],[Date / Time]])</f>
        <v>3</v>
      </c>
      <c r="X30" s="15">
        <f>__Anonymous_Sheet_DB__0[[#This Row],[Date / Time]]</f>
        <v>43533.414583333324</v>
      </c>
      <c r="Y30" s="4">
        <f t="shared" si="0"/>
        <v>2019</v>
      </c>
      <c r="Z30" s="4">
        <f t="shared" si="1"/>
        <v>10</v>
      </c>
    </row>
    <row r="31" spans="1:26" ht="38.25">
      <c r="A31" s="2">
        <f t="shared" si="2"/>
        <v>1829</v>
      </c>
      <c r="B31" s="10" t="s">
        <v>95</v>
      </c>
      <c r="C31" s="11">
        <v>43533.496527777766</v>
      </c>
      <c r="D31" s="4">
        <v>16</v>
      </c>
      <c r="E31" s="4">
        <v>10.7</v>
      </c>
      <c r="F31" s="4">
        <v>210</v>
      </c>
      <c r="G31" s="4">
        <v>57</v>
      </c>
      <c r="H31" s="4">
        <v>70</v>
      </c>
      <c r="I31" s="4">
        <v>11</v>
      </c>
      <c r="J31" s="4">
        <v>3</v>
      </c>
      <c r="K31" s="2" t="s">
        <v>96</v>
      </c>
      <c r="L31" s="12">
        <f t="shared" si="9"/>
        <v>1683</v>
      </c>
      <c r="M31" s="13">
        <f t="shared" si="10"/>
        <v>9.2472527472527482</v>
      </c>
      <c r="N31" s="13">
        <f t="shared" si="11"/>
        <v>11.614906832298137</v>
      </c>
      <c r="O31" s="12">
        <v>28.3</v>
      </c>
      <c r="P31" s="12">
        <v>20</v>
      </c>
      <c r="Q31" s="2"/>
      <c r="R31" s="2"/>
      <c r="V31" s="1"/>
      <c r="W31" s="4">
        <f>MONTH(__Anonymous_Sheet_DB__0[[#This Row],[Date / Time]])</f>
        <v>3</v>
      </c>
      <c r="X31" s="15">
        <f>__Anonymous_Sheet_DB__0[[#This Row],[Date / Time]]</f>
        <v>43533.496527777766</v>
      </c>
      <c r="Y31" s="4">
        <f t="shared" si="0"/>
        <v>2019</v>
      </c>
      <c r="Z31" s="4">
        <f t="shared" si="1"/>
        <v>10</v>
      </c>
    </row>
    <row r="32" spans="1:26" ht="38.25">
      <c r="A32" s="2">
        <f t="shared" si="2"/>
        <v>1830</v>
      </c>
      <c r="B32" s="10" t="s">
        <v>97</v>
      </c>
      <c r="C32" s="11">
        <v>43536.540972222218</v>
      </c>
      <c r="D32" s="4">
        <v>19</v>
      </c>
      <c r="E32" s="4">
        <v>11.1</v>
      </c>
      <c r="F32" s="4">
        <v>194</v>
      </c>
      <c r="G32" s="4">
        <v>49</v>
      </c>
      <c r="H32" s="4">
        <v>57</v>
      </c>
      <c r="I32" s="4">
        <v>11</v>
      </c>
      <c r="J32" s="4">
        <v>3</v>
      </c>
      <c r="K32" s="2" t="s">
        <v>98</v>
      </c>
      <c r="L32" s="12">
        <f t="shared" si="9"/>
        <v>1595</v>
      </c>
      <c r="M32" s="13">
        <f t="shared" si="10"/>
        <v>9.6491228070175445</v>
      </c>
      <c r="N32" s="13">
        <f t="shared" si="11"/>
        <v>13.261827554668663</v>
      </c>
      <c r="O32" s="12">
        <v>28.6</v>
      </c>
      <c r="P32" s="12">
        <v>25</v>
      </c>
      <c r="Q32" s="2"/>
      <c r="R32" s="2"/>
      <c r="V32" s="1"/>
      <c r="W32" s="4">
        <f>MONTH(__Anonymous_Sheet_DB__0[[#This Row],[Date / Time]])</f>
        <v>3</v>
      </c>
      <c r="X32" s="15">
        <f>__Anonymous_Sheet_DB__0[[#This Row],[Date / Time]]</f>
        <v>43536.540972222218</v>
      </c>
      <c r="Y32" s="4">
        <f t="shared" si="0"/>
        <v>2019</v>
      </c>
      <c r="Z32" s="4">
        <f t="shared" si="1"/>
        <v>11</v>
      </c>
    </row>
    <row r="33" spans="1:26" ht="38.25">
      <c r="A33" s="2">
        <f t="shared" si="2"/>
        <v>1831</v>
      </c>
      <c r="B33" s="10" t="s">
        <v>99</v>
      </c>
      <c r="C33" s="11">
        <v>43536.621527777766</v>
      </c>
      <c r="D33" s="4">
        <v>19</v>
      </c>
      <c r="E33" s="4">
        <v>10.7</v>
      </c>
      <c r="F33" s="4">
        <v>190</v>
      </c>
      <c r="G33" s="4">
        <v>54</v>
      </c>
      <c r="H33" s="4">
        <v>65</v>
      </c>
      <c r="I33" s="4">
        <v>11</v>
      </c>
      <c r="J33" s="4">
        <v>3</v>
      </c>
      <c r="K33" s="2" t="s">
        <v>100</v>
      </c>
      <c r="L33" s="12">
        <f t="shared" si="9"/>
        <v>1496</v>
      </c>
      <c r="M33" s="13">
        <f t="shared" si="10"/>
        <v>7.9363395225464197</v>
      </c>
      <c r="N33" s="13">
        <f t="shared" si="11"/>
        <v>11.118543292456337</v>
      </c>
      <c r="O33" s="12">
        <v>28.2</v>
      </c>
      <c r="P33" s="12">
        <v>25</v>
      </c>
      <c r="Q33" s="2"/>
      <c r="R33" s="2"/>
      <c r="V33" s="1"/>
      <c r="W33" s="4">
        <f>MONTH(__Anonymous_Sheet_DB__0[[#This Row],[Date / Time]])</f>
        <v>3</v>
      </c>
      <c r="X33" s="15">
        <f>__Anonymous_Sheet_DB__0[[#This Row],[Date / Time]]</f>
        <v>43536.621527777766</v>
      </c>
      <c r="Y33" s="4">
        <f t="shared" si="0"/>
        <v>2019</v>
      </c>
      <c r="Z33" s="4">
        <f t="shared" si="1"/>
        <v>11</v>
      </c>
    </row>
    <row r="34" spans="1:26" ht="38.25">
      <c r="A34" s="2">
        <f t="shared" si="2"/>
        <v>1832</v>
      </c>
      <c r="B34" s="10" t="s">
        <v>101</v>
      </c>
      <c r="C34" s="11">
        <v>43537.546527777777</v>
      </c>
      <c r="D34" s="4">
        <v>15</v>
      </c>
      <c r="E34" s="4">
        <v>10.5</v>
      </c>
      <c r="F34" s="4">
        <v>203</v>
      </c>
      <c r="G34" s="4">
        <v>79</v>
      </c>
      <c r="H34" s="4">
        <v>55</v>
      </c>
      <c r="I34" s="4">
        <v>11</v>
      </c>
      <c r="J34" s="4">
        <v>3</v>
      </c>
      <c r="K34" s="2" t="s">
        <v>102</v>
      </c>
      <c r="L34" s="12">
        <f t="shared" si="9"/>
        <v>1364</v>
      </c>
      <c r="M34" s="13">
        <f t="shared" si="10"/>
        <v>9.92</v>
      </c>
      <c r="N34" s="13">
        <f t="shared" si="11"/>
        <v>12.097560975609756</v>
      </c>
      <c r="O34" s="12">
        <v>28.8</v>
      </c>
      <c r="P34" s="12">
        <v>25</v>
      </c>
      <c r="Q34" s="2"/>
      <c r="R34" s="2"/>
      <c r="V34" s="1"/>
      <c r="W34" s="4">
        <f>MONTH(__Anonymous_Sheet_DB__0[[#This Row],[Date / Time]])</f>
        <v>3</v>
      </c>
      <c r="X34" s="15">
        <f>__Anonymous_Sheet_DB__0[[#This Row],[Date / Time]]</f>
        <v>43537.546527777777</v>
      </c>
      <c r="Y34" s="4">
        <f t="shared" si="0"/>
        <v>2019</v>
      </c>
      <c r="Z34" s="4">
        <f t="shared" si="1"/>
        <v>11</v>
      </c>
    </row>
    <row r="35" spans="1:26" ht="25.5">
      <c r="A35" s="2">
        <f t="shared" ref="A35:A66" si="12">A34+1</f>
        <v>1833</v>
      </c>
      <c r="B35" s="10" t="s">
        <v>103</v>
      </c>
      <c r="C35" s="11">
        <v>43537.548611111109</v>
      </c>
      <c r="D35" s="4">
        <v>19</v>
      </c>
      <c r="E35" s="4">
        <v>11.8</v>
      </c>
      <c r="F35" s="4">
        <v>196</v>
      </c>
      <c r="G35" s="4">
        <v>44</v>
      </c>
      <c r="H35" s="4">
        <v>64</v>
      </c>
      <c r="I35" s="4">
        <v>11</v>
      </c>
      <c r="J35" s="4">
        <v>3</v>
      </c>
      <c r="K35" s="2" t="s">
        <v>104</v>
      </c>
      <c r="L35" s="12">
        <f t="shared" si="9"/>
        <v>1672</v>
      </c>
      <c r="M35" s="13">
        <f t="shared" si="10"/>
        <v>9.0086206896551726</v>
      </c>
      <c r="N35" s="13">
        <f t="shared" si="11"/>
        <v>11.98394495412844</v>
      </c>
      <c r="O35" s="12">
        <v>28.8</v>
      </c>
      <c r="P35" s="12">
        <v>25</v>
      </c>
      <c r="Q35" s="2"/>
      <c r="R35" s="2"/>
      <c r="V35" s="1"/>
      <c r="W35" s="4">
        <f>MONTH(__Anonymous_Sheet_DB__0[[#This Row],[Date / Time]])</f>
        <v>3</v>
      </c>
      <c r="X35" s="15">
        <f>__Anonymous_Sheet_DB__0[[#This Row],[Date / Time]]</f>
        <v>43537.548611111109</v>
      </c>
      <c r="Y35" s="4">
        <f t="shared" si="0"/>
        <v>2019</v>
      </c>
      <c r="Z35" s="4">
        <f t="shared" si="1"/>
        <v>11</v>
      </c>
    </row>
    <row r="36" spans="1:26" ht="25.5">
      <c r="A36" s="2">
        <f t="shared" si="12"/>
        <v>1834</v>
      </c>
      <c r="B36" s="10" t="s">
        <v>105</v>
      </c>
      <c r="C36" s="11">
        <v>43555.448611111111</v>
      </c>
      <c r="D36" s="4">
        <v>29</v>
      </c>
      <c r="E36" s="4">
        <v>14.3</v>
      </c>
      <c r="F36" s="4">
        <v>235</v>
      </c>
      <c r="G36" s="4">
        <v>82</v>
      </c>
      <c r="H36" s="4">
        <v>52</v>
      </c>
      <c r="I36" s="4">
        <v>12</v>
      </c>
      <c r="J36" s="4">
        <v>3</v>
      </c>
      <c r="K36" s="2" t="s">
        <v>106</v>
      </c>
      <c r="L36" s="12">
        <f t="shared" si="9"/>
        <v>1836</v>
      </c>
      <c r="M36" s="13">
        <f t="shared" si="10"/>
        <v>9.053254437869823</v>
      </c>
      <c r="N36" s="13">
        <f t="shared" si="11"/>
        <v>14.52991452991453</v>
      </c>
      <c r="O36" s="12">
        <v>8</v>
      </c>
      <c r="P36" s="12">
        <v>8</v>
      </c>
      <c r="Q36" s="2"/>
      <c r="R36" s="2"/>
      <c r="V36" s="1"/>
      <c r="W36" s="4">
        <f>MONTH(__Anonymous_Sheet_DB__0[[#This Row],[Date / Time]])</f>
        <v>3</v>
      </c>
      <c r="X36" s="15">
        <f>__Anonymous_Sheet_DB__0[[#This Row],[Date / Time]]</f>
        <v>43555.448611111111</v>
      </c>
      <c r="Y36" s="4">
        <f t="shared" si="0"/>
        <v>2019</v>
      </c>
      <c r="Z36" s="4">
        <f t="shared" si="1"/>
        <v>14</v>
      </c>
    </row>
    <row r="37" spans="1:26" ht="38.25">
      <c r="A37" s="2">
        <f t="shared" si="12"/>
        <v>1835</v>
      </c>
      <c r="B37" s="10" t="s">
        <v>107</v>
      </c>
      <c r="C37" s="11">
        <v>43568.547222222223</v>
      </c>
      <c r="D37" s="4">
        <v>12</v>
      </c>
      <c r="E37" s="4">
        <v>8.8000000000000007</v>
      </c>
      <c r="F37" s="4">
        <v>246</v>
      </c>
      <c r="G37" s="4">
        <v>120</v>
      </c>
      <c r="H37" s="4">
        <v>35</v>
      </c>
      <c r="I37" s="4">
        <v>12</v>
      </c>
      <c r="J37" s="4">
        <v>3</v>
      </c>
      <c r="K37" s="2" t="s">
        <v>108</v>
      </c>
      <c r="L37" s="12">
        <f t="shared" si="9"/>
        <v>1512</v>
      </c>
      <c r="M37" s="13">
        <f t="shared" si="10"/>
        <v>19.636363636363637</v>
      </c>
      <c r="N37" s="13">
        <f t="shared" si="11"/>
        <v>22.978723404255316</v>
      </c>
      <c r="O37" s="12">
        <v>8.1999999999999993</v>
      </c>
      <c r="P37" s="12">
        <v>5</v>
      </c>
      <c r="Q37" s="2"/>
      <c r="R37" s="2" t="s">
        <v>109</v>
      </c>
      <c r="S37" s="4">
        <v>60</v>
      </c>
      <c r="V37" s="1"/>
      <c r="W37" s="4">
        <f>MONTH(__Anonymous_Sheet_DB__0[[#This Row],[Date / Time]])</f>
        <v>4</v>
      </c>
      <c r="X37" s="15">
        <f>__Anonymous_Sheet_DB__0[[#This Row],[Date / Time]]</f>
        <v>43568.547222222223</v>
      </c>
      <c r="Y37" s="4">
        <f t="shared" si="0"/>
        <v>2019</v>
      </c>
      <c r="Z37" s="4">
        <f t="shared" si="1"/>
        <v>15</v>
      </c>
    </row>
    <row r="38" spans="1:26" ht="38.25">
      <c r="A38" s="2">
        <f t="shared" si="12"/>
        <v>1836</v>
      </c>
      <c r="B38" s="10" t="s">
        <v>110</v>
      </c>
      <c r="C38" s="11">
        <v>43568.641666666685</v>
      </c>
      <c r="D38" s="4">
        <v>13.6</v>
      </c>
      <c r="E38" s="4">
        <v>8.9</v>
      </c>
      <c r="F38" s="4">
        <v>245</v>
      </c>
      <c r="G38" s="4">
        <v>123</v>
      </c>
      <c r="H38" s="4">
        <v>45</v>
      </c>
      <c r="I38" s="4">
        <v>12</v>
      </c>
      <c r="J38" s="4">
        <v>3</v>
      </c>
      <c r="K38" s="2" t="s">
        <v>111</v>
      </c>
      <c r="L38" s="12">
        <f t="shared" si="9"/>
        <v>1464</v>
      </c>
      <c r="M38" s="13">
        <f t="shared" si="10"/>
        <v>13.785310734463277</v>
      </c>
      <c r="N38" s="13">
        <f t="shared" si="11"/>
        <v>17.213403880070548</v>
      </c>
      <c r="O38" s="12">
        <v>8.3000000000000007</v>
      </c>
      <c r="P38" s="12">
        <v>5</v>
      </c>
      <c r="Q38" s="2" t="s">
        <v>112</v>
      </c>
      <c r="R38" s="2"/>
      <c r="S38" s="4">
        <v>60</v>
      </c>
      <c r="V38" s="1"/>
      <c r="W38" s="4">
        <f>MONTH(__Anonymous_Sheet_DB__0[[#This Row],[Date / Time]])</f>
        <v>4</v>
      </c>
      <c r="X38" s="15">
        <f>__Anonymous_Sheet_DB__0[[#This Row],[Date / Time]]</f>
        <v>43568.641666666685</v>
      </c>
      <c r="Y38" s="4">
        <f t="shared" si="0"/>
        <v>2019</v>
      </c>
      <c r="Z38" s="4">
        <f t="shared" si="1"/>
        <v>15</v>
      </c>
    </row>
    <row r="39" spans="1:26" ht="38.25">
      <c r="A39" s="2">
        <f t="shared" si="12"/>
        <v>1837</v>
      </c>
      <c r="B39" s="10" t="s">
        <v>113</v>
      </c>
      <c r="C39" s="11">
        <v>43577.402083333327</v>
      </c>
      <c r="D39" s="4">
        <v>24</v>
      </c>
      <c r="E39" s="4">
        <v>13.8</v>
      </c>
      <c r="F39" s="4">
        <v>216</v>
      </c>
      <c r="G39" s="4">
        <v>61</v>
      </c>
      <c r="H39" s="4">
        <v>41</v>
      </c>
      <c r="I39" s="4">
        <v>10</v>
      </c>
      <c r="J39" s="4">
        <v>3</v>
      </c>
      <c r="K39" s="2" t="s">
        <v>114</v>
      </c>
      <c r="L39" s="12">
        <f t="shared" si="9"/>
        <v>1550</v>
      </c>
      <c r="M39" s="13">
        <f t="shared" si="10"/>
        <v>11.119081779053085</v>
      </c>
      <c r="N39" s="13">
        <f t="shared" si="11"/>
        <v>15.884402541504405</v>
      </c>
      <c r="O39" s="12">
        <v>7.7</v>
      </c>
      <c r="P39" s="12">
        <v>5</v>
      </c>
      <c r="Q39" s="2"/>
      <c r="R39" s="2"/>
      <c r="V39" s="1"/>
      <c r="W39" s="4">
        <f>MONTH(__Anonymous_Sheet_DB__0[[#This Row],[Date / Time]])</f>
        <v>4</v>
      </c>
      <c r="X39" s="15">
        <f>__Anonymous_Sheet_DB__0[[#This Row],[Date / Time]]</f>
        <v>43577.402083333327</v>
      </c>
      <c r="Y39" s="4">
        <f t="shared" si="0"/>
        <v>2019</v>
      </c>
      <c r="Z39" s="4">
        <f t="shared" si="1"/>
        <v>17</v>
      </c>
    </row>
    <row r="40" spans="1:26" ht="38.25">
      <c r="A40" s="2">
        <f t="shared" si="12"/>
        <v>1838</v>
      </c>
      <c r="B40" s="10" t="s">
        <v>113</v>
      </c>
      <c r="C40" s="11">
        <v>43577.472222222219</v>
      </c>
      <c r="D40" s="4">
        <v>22</v>
      </c>
      <c r="E40" s="4">
        <v>13.8</v>
      </c>
      <c r="F40" s="4">
        <v>203</v>
      </c>
      <c r="G40" s="4">
        <v>70</v>
      </c>
      <c r="H40" s="4">
        <v>39</v>
      </c>
      <c r="I40" s="4">
        <v>10</v>
      </c>
      <c r="J40" s="4">
        <v>3</v>
      </c>
      <c r="K40" s="2" t="s">
        <v>115</v>
      </c>
      <c r="L40" s="12">
        <f t="shared" si="9"/>
        <v>1330</v>
      </c>
      <c r="M40" s="13">
        <f t="shared" si="10"/>
        <v>10.657051282051281</v>
      </c>
      <c r="N40" s="13">
        <f t="shared" si="11"/>
        <v>14.328808446455506</v>
      </c>
      <c r="O40" s="12">
        <v>7.7</v>
      </c>
      <c r="P40" s="12">
        <v>5</v>
      </c>
      <c r="Q40" s="2"/>
      <c r="R40" s="2"/>
      <c r="V40" s="1"/>
      <c r="W40" s="4">
        <f>MONTH(__Anonymous_Sheet_DB__0[[#This Row],[Date / Time]])</f>
        <v>4</v>
      </c>
      <c r="X40" s="15">
        <f>__Anonymous_Sheet_DB__0[[#This Row],[Date / Time]]</f>
        <v>43577.472222222219</v>
      </c>
      <c r="Y40" s="4">
        <f t="shared" si="0"/>
        <v>2019</v>
      </c>
      <c r="Z40" s="4">
        <f t="shared" si="1"/>
        <v>17</v>
      </c>
    </row>
    <row r="41" spans="1:26" ht="25.5">
      <c r="A41" s="2">
        <f t="shared" si="12"/>
        <v>1839</v>
      </c>
      <c r="B41" s="10" t="s">
        <v>116</v>
      </c>
      <c r="C41" s="11">
        <v>43590.417361111111</v>
      </c>
      <c r="D41" s="4">
        <v>24</v>
      </c>
      <c r="E41" s="4">
        <v>12.8</v>
      </c>
      <c r="F41" s="4">
        <v>290</v>
      </c>
      <c r="G41" s="4">
        <v>120</v>
      </c>
      <c r="H41" s="4">
        <v>50</v>
      </c>
      <c r="I41" s="4">
        <v>12</v>
      </c>
      <c r="J41" s="4">
        <v>3</v>
      </c>
      <c r="K41" s="2" t="s">
        <v>117</v>
      </c>
      <c r="L41" s="12">
        <f t="shared" si="9"/>
        <v>2040</v>
      </c>
      <c r="M41" s="13">
        <f t="shared" si="10"/>
        <v>12</v>
      </c>
      <c r="N41" s="13">
        <f t="shared" si="11"/>
        <v>17.89473684210526</v>
      </c>
      <c r="O41" s="12">
        <v>7.7</v>
      </c>
      <c r="P41" s="12">
        <v>8</v>
      </c>
      <c r="Q41" s="2"/>
      <c r="R41" s="2"/>
      <c r="V41" s="1"/>
      <c r="W41" s="4">
        <f>MONTH(__Anonymous_Sheet_DB__0[[#This Row],[Date / Time]])</f>
        <v>5</v>
      </c>
      <c r="X41" s="15">
        <f>__Anonymous_Sheet_DB__0[[#This Row],[Date / Time]]</f>
        <v>43590.417361111111</v>
      </c>
      <c r="Y41" s="4">
        <f t="shared" si="0"/>
        <v>2019</v>
      </c>
      <c r="Z41" s="4">
        <f t="shared" si="1"/>
        <v>19</v>
      </c>
    </row>
    <row r="42" spans="1:26" ht="25.5">
      <c r="A42" s="2">
        <f t="shared" si="12"/>
        <v>1840</v>
      </c>
      <c r="B42" s="10" t="s">
        <v>118</v>
      </c>
      <c r="C42" s="11">
        <v>43590.506944444445</v>
      </c>
      <c r="D42" s="4">
        <v>20</v>
      </c>
      <c r="E42" s="4">
        <v>13.5</v>
      </c>
      <c r="F42" s="4">
        <v>269</v>
      </c>
      <c r="G42" s="4">
        <v>151</v>
      </c>
      <c r="H42" s="4">
        <v>36</v>
      </c>
      <c r="I42" s="4">
        <v>12</v>
      </c>
      <c r="J42" s="4">
        <v>3</v>
      </c>
      <c r="K42" s="2" t="s">
        <v>119</v>
      </c>
      <c r="L42" s="12">
        <f t="shared" si="9"/>
        <v>1416</v>
      </c>
      <c r="M42" s="13">
        <f t="shared" si="10"/>
        <v>13.111111111111112</v>
      </c>
      <c r="N42" s="13">
        <f t="shared" si="11"/>
        <v>16.73758865248227</v>
      </c>
      <c r="O42" s="12">
        <v>7.7</v>
      </c>
      <c r="P42" s="12">
        <v>7</v>
      </c>
      <c r="Q42" s="2"/>
      <c r="R42" s="2"/>
      <c r="V42" s="1"/>
      <c r="W42" s="4">
        <f>MONTH(__Anonymous_Sheet_DB__0[[#This Row],[Date / Time]])</f>
        <v>5</v>
      </c>
      <c r="X42" s="15">
        <f>__Anonymous_Sheet_DB__0[[#This Row],[Date / Time]]</f>
        <v>43590.506944444445</v>
      </c>
      <c r="Y42" s="4">
        <f t="shared" si="0"/>
        <v>2019</v>
      </c>
      <c r="Z42" s="4">
        <f t="shared" si="1"/>
        <v>19</v>
      </c>
    </row>
    <row r="43" spans="1:26" ht="38.25">
      <c r="A43" s="2">
        <f t="shared" si="12"/>
        <v>1841</v>
      </c>
      <c r="B43" s="10" t="s">
        <v>120</v>
      </c>
      <c r="C43" s="11">
        <v>43596.477777777778</v>
      </c>
      <c r="D43" s="4">
        <v>18</v>
      </c>
      <c r="E43" s="4">
        <v>9.1</v>
      </c>
      <c r="F43" s="4">
        <v>201</v>
      </c>
      <c r="G43" s="4">
        <v>40</v>
      </c>
      <c r="H43" s="4">
        <v>54</v>
      </c>
      <c r="I43" s="4">
        <v>12</v>
      </c>
      <c r="J43" s="4">
        <v>3</v>
      </c>
      <c r="K43" s="2" t="s">
        <v>121</v>
      </c>
      <c r="L43" s="12">
        <f t="shared" si="9"/>
        <v>1932</v>
      </c>
      <c r="M43" s="13">
        <f t="shared" si="10"/>
        <v>12.777777777777779</v>
      </c>
      <c r="N43" s="13">
        <f t="shared" si="11"/>
        <v>18.731820826061664</v>
      </c>
      <c r="O43" s="12">
        <v>8.5</v>
      </c>
      <c r="P43" s="12">
        <v>8</v>
      </c>
      <c r="Q43" s="2"/>
      <c r="R43" s="2" t="s">
        <v>122</v>
      </c>
      <c r="S43" s="4">
        <v>75</v>
      </c>
      <c r="V43" s="1"/>
      <c r="W43" s="4">
        <f>MONTH(__Anonymous_Sheet_DB__0[[#This Row],[Date / Time]])</f>
        <v>5</v>
      </c>
      <c r="X43" s="15">
        <f>__Anonymous_Sheet_DB__0[[#This Row],[Date / Time]]</f>
        <v>43596.477777777778</v>
      </c>
      <c r="Y43" s="4">
        <f t="shared" si="0"/>
        <v>2019</v>
      </c>
      <c r="Z43" s="4">
        <f t="shared" si="1"/>
        <v>19</v>
      </c>
    </row>
    <row r="44" spans="1:26" ht="38.25">
      <c r="A44" s="2">
        <f t="shared" si="12"/>
        <v>1842</v>
      </c>
      <c r="B44" s="10" t="s">
        <v>123</v>
      </c>
      <c r="C44" s="11">
        <v>43596.589583333327</v>
      </c>
      <c r="D44" s="4">
        <v>17</v>
      </c>
      <c r="E44" s="4">
        <v>10.3</v>
      </c>
      <c r="F44" s="4">
        <v>208</v>
      </c>
      <c r="G44" s="4">
        <v>63</v>
      </c>
      <c r="H44" s="4">
        <v>50</v>
      </c>
      <c r="I44" s="4">
        <v>12</v>
      </c>
      <c r="J44" s="4">
        <v>3</v>
      </c>
      <c r="K44" s="2" t="s">
        <v>124</v>
      </c>
      <c r="L44" s="12">
        <f t="shared" si="9"/>
        <v>1740</v>
      </c>
      <c r="M44" s="13">
        <f t="shared" si="10"/>
        <v>12.888888888888888</v>
      </c>
      <c r="N44" s="13">
        <f t="shared" si="11"/>
        <v>17.142857142857139</v>
      </c>
      <c r="O44" s="12">
        <v>8.4</v>
      </c>
      <c r="P44" s="12">
        <v>7</v>
      </c>
      <c r="Q44" s="2" t="s">
        <v>125</v>
      </c>
      <c r="R44" s="2"/>
      <c r="S44" s="4">
        <v>90</v>
      </c>
      <c r="V44" s="1"/>
      <c r="W44" s="4">
        <f>MONTH(__Anonymous_Sheet_DB__0[[#This Row],[Date / Time]])</f>
        <v>5</v>
      </c>
      <c r="X44" s="15">
        <f>__Anonymous_Sheet_DB__0[[#This Row],[Date / Time]]</f>
        <v>43596.589583333327</v>
      </c>
      <c r="Y44" s="4">
        <f t="shared" si="0"/>
        <v>2019</v>
      </c>
      <c r="Z44" s="4">
        <f t="shared" si="1"/>
        <v>19</v>
      </c>
    </row>
    <row r="45" spans="1:26" ht="25.5">
      <c r="A45" s="2">
        <f t="shared" si="12"/>
        <v>1843</v>
      </c>
      <c r="B45" s="10" t="s">
        <v>126</v>
      </c>
      <c r="C45" s="11">
        <v>43604.455555555556</v>
      </c>
      <c r="D45" s="4">
        <v>25</v>
      </c>
      <c r="E45" s="4">
        <v>13.1</v>
      </c>
      <c r="F45" s="4">
        <v>227</v>
      </c>
      <c r="G45" s="4">
        <v>96</v>
      </c>
      <c r="H45" s="4">
        <v>51</v>
      </c>
      <c r="I45" s="4">
        <v>12</v>
      </c>
      <c r="J45" s="4">
        <v>3</v>
      </c>
      <c r="K45" s="2" t="s">
        <v>127</v>
      </c>
      <c r="L45" s="12">
        <f t="shared" si="9"/>
        <v>1572</v>
      </c>
      <c r="M45" s="13">
        <f t="shared" si="10"/>
        <v>8.8067226890756309</v>
      </c>
      <c r="N45" s="13">
        <f t="shared" si="11"/>
        <v>13.343519225872166</v>
      </c>
      <c r="O45" s="12">
        <v>8.6999999999999993</v>
      </c>
      <c r="P45" s="12">
        <v>8</v>
      </c>
      <c r="Q45" s="2"/>
      <c r="R45" s="2"/>
      <c r="V45" s="1"/>
      <c r="W45" s="4">
        <f>MONTH(__Anonymous_Sheet_DB__0[[#This Row],[Date / Time]])</f>
        <v>5</v>
      </c>
      <c r="X45" s="15">
        <f>__Anonymous_Sheet_DB__0[[#This Row],[Date / Time]]</f>
        <v>43604.455555555556</v>
      </c>
      <c r="Y45" s="4">
        <f t="shared" si="0"/>
        <v>2019</v>
      </c>
      <c r="Z45" s="4">
        <f t="shared" si="1"/>
        <v>21</v>
      </c>
    </row>
    <row r="46" spans="1:26" ht="25.5">
      <c r="A46" s="2">
        <f t="shared" si="12"/>
        <v>1844</v>
      </c>
      <c r="B46" s="10" t="s">
        <v>128</v>
      </c>
      <c r="C46" s="11">
        <v>43604.543055555558</v>
      </c>
      <c r="D46" s="4">
        <v>21</v>
      </c>
      <c r="E46" s="4">
        <v>15.1</v>
      </c>
      <c r="F46" s="4">
        <v>214</v>
      </c>
      <c r="G46" s="4">
        <v>93</v>
      </c>
      <c r="H46" s="4">
        <v>44</v>
      </c>
      <c r="I46" s="4">
        <v>12</v>
      </c>
      <c r="J46" s="4">
        <v>3</v>
      </c>
      <c r="K46" s="2" t="s">
        <v>129</v>
      </c>
      <c r="L46" s="12">
        <f t="shared" si="9"/>
        <v>1452</v>
      </c>
      <c r="M46" s="13">
        <f t="shared" si="10"/>
        <v>10.64516129032258</v>
      </c>
      <c r="N46" s="13">
        <f t="shared" si="11"/>
        <v>13.147410358565738</v>
      </c>
      <c r="O46" s="12">
        <v>8.6999999999999993</v>
      </c>
      <c r="P46" s="12">
        <v>8</v>
      </c>
      <c r="Q46" s="2"/>
      <c r="R46" s="2"/>
      <c r="V46" s="1"/>
      <c r="W46" s="4">
        <f>MONTH(__Anonymous_Sheet_DB__0[[#This Row],[Date / Time]])</f>
        <v>5</v>
      </c>
      <c r="X46" s="15">
        <f>__Anonymous_Sheet_DB__0[[#This Row],[Date / Time]]</f>
        <v>43604.543055555558</v>
      </c>
      <c r="Y46" s="4">
        <f t="shared" si="0"/>
        <v>2019</v>
      </c>
      <c r="Z46" s="4">
        <f t="shared" si="1"/>
        <v>21</v>
      </c>
    </row>
    <row r="47" spans="1:26" ht="38.25">
      <c r="A47" s="2">
        <f t="shared" si="12"/>
        <v>1845</v>
      </c>
      <c r="B47" s="10" t="s">
        <v>130</v>
      </c>
      <c r="C47" s="11">
        <v>43624.493055555555</v>
      </c>
      <c r="D47" s="4">
        <v>12</v>
      </c>
      <c r="E47" s="4">
        <v>5.7</v>
      </c>
      <c r="F47" s="4">
        <v>227</v>
      </c>
      <c r="G47" s="4">
        <v>66</v>
      </c>
      <c r="H47" s="4">
        <v>70</v>
      </c>
      <c r="I47" s="4">
        <v>12.2</v>
      </c>
      <c r="J47" s="4">
        <v>3</v>
      </c>
      <c r="K47" s="2" t="s">
        <v>131</v>
      </c>
      <c r="L47" s="12">
        <f t="shared" si="9"/>
        <v>1964.1999999999998</v>
      </c>
      <c r="M47" s="13">
        <f t="shared" si="10"/>
        <v>12.754545454545452</v>
      </c>
      <c r="N47" s="13">
        <f t="shared" si="11"/>
        <v>17.872611464968152</v>
      </c>
      <c r="O47" s="12">
        <v>9.5</v>
      </c>
      <c r="P47" s="12">
        <v>8</v>
      </c>
      <c r="Q47" s="2"/>
      <c r="R47" s="2" t="s">
        <v>132</v>
      </c>
      <c r="S47" s="4">
        <v>70</v>
      </c>
      <c r="V47" s="1"/>
      <c r="W47" s="4">
        <f>MONTH(__Anonymous_Sheet_DB__0[[#This Row],[Date / Time]])</f>
        <v>6</v>
      </c>
      <c r="X47" s="15">
        <f>__Anonymous_Sheet_DB__0[[#This Row],[Date / Time]]</f>
        <v>43624.493055555555</v>
      </c>
      <c r="Y47" s="4">
        <f t="shared" si="0"/>
        <v>2019</v>
      </c>
      <c r="Z47" s="4">
        <f t="shared" si="1"/>
        <v>23</v>
      </c>
    </row>
    <row r="48" spans="1:26" ht="38.25">
      <c r="A48" s="2">
        <f t="shared" si="12"/>
        <v>1846</v>
      </c>
      <c r="B48" s="10" t="s">
        <v>133</v>
      </c>
      <c r="C48" s="11">
        <v>43624.605555555558</v>
      </c>
      <c r="D48" s="4">
        <v>20</v>
      </c>
      <c r="E48" s="4">
        <v>14</v>
      </c>
      <c r="F48" s="4">
        <v>193</v>
      </c>
      <c r="G48" s="4">
        <v>50</v>
      </c>
      <c r="H48" s="4">
        <v>53</v>
      </c>
      <c r="I48" s="4">
        <v>12.2</v>
      </c>
      <c r="J48" s="4">
        <v>3</v>
      </c>
      <c r="K48" s="2" t="s">
        <v>134</v>
      </c>
      <c r="L48" s="12">
        <f t="shared" si="9"/>
        <v>1744.6</v>
      </c>
      <c r="M48" s="13">
        <f t="shared" si="10"/>
        <v>10.972327044025157</v>
      </c>
      <c r="N48" s="13">
        <f t="shared" si="11"/>
        <v>13.715408805031446</v>
      </c>
      <c r="O48" s="12">
        <v>9.5</v>
      </c>
      <c r="P48" s="12">
        <v>9</v>
      </c>
      <c r="Q48" s="2"/>
      <c r="R48" s="2"/>
      <c r="T48" s="1" t="s">
        <v>135</v>
      </c>
      <c r="V48" s="1"/>
      <c r="W48" s="4">
        <f>MONTH(__Anonymous_Sheet_DB__0[[#This Row],[Date / Time]])</f>
        <v>6</v>
      </c>
      <c r="X48" s="15">
        <f>__Anonymous_Sheet_DB__0[[#This Row],[Date / Time]]</f>
        <v>43624.605555555558</v>
      </c>
      <c r="Y48" s="4">
        <f t="shared" si="0"/>
        <v>2019</v>
      </c>
      <c r="Z48" s="4">
        <f t="shared" si="1"/>
        <v>23</v>
      </c>
    </row>
    <row r="49" spans="1:26" ht="25.5">
      <c r="A49" s="2">
        <f t="shared" si="12"/>
        <v>1847</v>
      </c>
      <c r="B49" s="10" t="s">
        <v>136</v>
      </c>
      <c r="C49" s="11">
        <v>43646.444444444445</v>
      </c>
      <c r="D49" s="4">
        <v>21</v>
      </c>
      <c r="E49" s="4">
        <v>12.7</v>
      </c>
      <c r="F49" s="4">
        <v>214</v>
      </c>
      <c r="G49" s="4">
        <v>85</v>
      </c>
      <c r="H49" s="4">
        <v>43</v>
      </c>
      <c r="I49" s="4">
        <v>12.2</v>
      </c>
      <c r="J49" s="4">
        <v>3</v>
      </c>
      <c r="K49" s="2" t="s">
        <v>137</v>
      </c>
      <c r="L49" s="12">
        <f t="shared" si="9"/>
        <v>1573.8</v>
      </c>
      <c r="M49" s="13">
        <f t="shared" si="10"/>
        <v>11.806451612903226</v>
      </c>
      <c r="N49" s="13">
        <f t="shared" si="11"/>
        <v>16.123348017621144</v>
      </c>
      <c r="O49" s="12">
        <v>10.7</v>
      </c>
      <c r="P49" s="12">
        <v>8</v>
      </c>
      <c r="Q49" s="2"/>
      <c r="R49" s="2"/>
      <c r="V49" s="1"/>
      <c r="W49" s="4">
        <f>MONTH(__Anonymous_Sheet_DB__0[[#This Row],[Date / Time]])</f>
        <v>6</v>
      </c>
      <c r="X49" s="15">
        <f>__Anonymous_Sheet_DB__0[[#This Row],[Date / Time]]</f>
        <v>43646.444444444445</v>
      </c>
      <c r="Y49" s="4">
        <f t="shared" si="0"/>
        <v>2019</v>
      </c>
      <c r="Z49" s="4">
        <f t="shared" si="1"/>
        <v>27</v>
      </c>
    </row>
    <row r="50" spans="1:26" ht="25.5">
      <c r="A50" s="2">
        <f t="shared" si="12"/>
        <v>1848</v>
      </c>
      <c r="B50" s="10" t="s">
        <v>138</v>
      </c>
      <c r="C50" s="11">
        <v>43646.509722222218</v>
      </c>
      <c r="D50" s="4">
        <v>18</v>
      </c>
      <c r="E50" s="4">
        <v>9.1999999999999993</v>
      </c>
      <c r="F50" s="4">
        <v>221</v>
      </c>
      <c r="G50" s="4">
        <v>116</v>
      </c>
      <c r="H50" s="4">
        <v>42</v>
      </c>
      <c r="I50" s="4">
        <v>12.2</v>
      </c>
      <c r="J50" s="4">
        <v>3</v>
      </c>
      <c r="K50" s="2" t="s">
        <v>139</v>
      </c>
      <c r="L50" s="12">
        <f t="shared" si="9"/>
        <v>1281</v>
      </c>
      <c r="M50" s="13">
        <f t="shared" si="10"/>
        <v>10.892857142857144</v>
      </c>
      <c r="N50" s="13">
        <f t="shared" si="11"/>
        <v>15.885416666666666</v>
      </c>
      <c r="O50" s="12">
        <v>10.7</v>
      </c>
      <c r="P50" s="12">
        <v>8</v>
      </c>
      <c r="Q50" s="2"/>
      <c r="R50" s="2"/>
      <c r="V50" s="1"/>
      <c r="W50" s="4">
        <f>MONTH(__Anonymous_Sheet_DB__0[[#This Row],[Date / Time]])</f>
        <v>6</v>
      </c>
      <c r="X50" s="15">
        <f>__Anonymous_Sheet_DB__0[[#This Row],[Date / Time]]</f>
        <v>43646.509722222218</v>
      </c>
      <c r="Y50" s="4">
        <f t="shared" si="0"/>
        <v>2019</v>
      </c>
      <c r="Z50" s="4">
        <f t="shared" si="1"/>
        <v>27</v>
      </c>
    </row>
    <row r="51" spans="1:26" ht="25.5">
      <c r="A51" s="2">
        <f t="shared" si="12"/>
        <v>1849</v>
      </c>
      <c r="B51" s="10" t="s">
        <v>140</v>
      </c>
      <c r="C51" s="11">
        <v>43653.426388888889</v>
      </c>
      <c r="D51" s="4">
        <v>34</v>
      </c>
      <c r="E51" s="4">
        <v>16.3</v>
      </c>
      <c r="F51" s="4">
        <v>273</v>
      </c>
      <c r="G51" s="4">
        <v>138</v>
      </c>
      <c r="H51" s="4">
        <v>34</v>
      </c>
      <c r="I51" s="4">
        <v>12</v>
      </c>
      <c r="J51" s="4">
        <v>3</v>
      </c>
      <c r="K51" s="2" t="s">
        <v>141</v>
      </c>
      <c r="L51" s="12">
        <f t="shared" si="9"/>
        <v>1620</v>
      </c>
      <c r="M51" s="13">
        <f t="shared" si="10"/>
        <v>10.828877005347593</v>
      </c>
      <c r="N51" s="13">
        <f t="shared" si="11"/>
        <v>18.116752404383806</v>
      </c>
      <c r="O51" s="12">
        <v>11.2</v>
      </c>
      <c r="P51" s="12">
        <v>8</v>
      </c>
      <c r="Q51" s="2" t="s">
        <v>142</v>
      </c>
      <c r="R51" s="2"/>
      <c r="S51" s="4">
        <v>60</v>
      </c>
      <c r="V51" s="1"/>
      <c r="W51" s="4">
        <f>MONTH(__Anonymous_Sheet_DB__0[[#This Row],[Date / Time]])</f>
        <v>7</v>
      </c>
      <c r="X51" s="15">
        <f>__Anonymous_Sheet_DB__0[[#This Row],[Date / Time]]</f>
        <v>43653.426388888889</v>
      </c>
      <c r="Y51" s="4">
        <f t="shared" si="0"/>
        <v>2019</v>
      </c>
      <c r="Z51" s="4">
        <f t="shared" si="1"/>
        <v>28</v>
      </c>
    </row>
    <row r="52" spans="1:26" ht="25.5">
      <c r="A52" s="2">
        <f t="shared" si="12"/>
        <v>1850</v>
      </c>
      <c r="B52" s="10" t="s">
        <v>143</v>
      </c>
      <c r="C52" s="11">
        <v>43653.486805555556</v>
      </c>
      <c r="D52" s="4">
        <v>24</v>
      </c>
      <c r="E52" s="4">
        <v>14.2</v>
      </c>
      <c r="F52" s="4">
        <v>274</v>
      </c>
      <c r="G52" s="4">
        <v>150</v>
      </c>
      <c r="H52" s="4">
        <v>41</v>
      </c>
      <c r="I52" s="4">
        <v>12</v>
      </c>
      <c r="J52" s="4">
        <v>3</v>
      </c>
      <c r="K52" s="2" t="s">
        <v>144</v>
      </c>
      <c r="L52" s="12">
        <f t="shared" si="9"/>
        <v>1488</v>
      </c>
      <c r="M52" s="13">
        <f t="shared" si="10"/>
        <v>10.674318507890961</v>
      </c>
      <c r="N52" s="13">
        <f t="shared" si="11"/>
        <v>14.996976416045152</v>
      </c>
      <c r="O52" s="12">
        <v>11.2</v>
      </c>
      <c r="P52" s="12">
        <v>8</v>
      </c>
      <c r="Q52" s="2"/>
      <c r="R52" s="2"/>
      <c r="V52" s="1"/>
      <c r="W52" s="4">
        <f>MONTH(__Anonymous_Sheet_DB__0[[#This Row],[Date / Time]])</f>
        <v>7</v>
      </c>
      <c r="X52" s="15">
        <f>__Anonymous_Sheet_DB__0[[#This Row],[Date / Time]]</f>
        <v>43653.486805555556</v>
      </c>
      <c r="Y52" s="4">
        <f t="shared" si="0"/>
        <v>2019</v>
      </c>
      <c r="Z52" s="4">
        <f t="shared" si="1"/>
        <v>28</v>
      </c>
    </row>
    <row r="53" spans="1:26" ht="38.25">
      <c r="A53" s="2">
        <f t="shared" si="12"/>
        <v>1851</v>
      </c>
      <c r="B53" s="10" t="s">
        <v>145</v>
      </c>
      <c r="C53" s="11">
        <v>43659.484722222223</v>
      </c>
      <c r="D53" s="4">
        <v>18</v>
      </c>
      <c r="E53" s="4">
        <v>10.7</v>
      </c>
      <c r="F53" s="4">
        <v>220</v>
      </c>
      <c r="G53" s="4">
        <v>110</v>
      </c>
      <c r="H53" s="4">
        <v>23</v>
      </c>
      <c r="I53" s="4">
        <v>10</v>
      </c>
      <c r="J53" s="4">
        <v>3</v>
      </c>
      <c r="K53" s="2" t="s">
        <v>146</v>
      </c>
      <c r="L53" s="12">
        <f t="shared" si="9"/>
        <v>1100</v>
      </c>
      <c r="M53" s="13">
        <f t="shared" si="10"/>
        <v>17.080745341614907</v>
      </c>
      <c r="N53" s="13">
        <f t="shared" si="11"/>
        <v>23.104389834068478</v>
      </c>
      <c r="O53" s="12">
        <v>10.4</v>
      </c>
      <c r="P53" s="12">
        <v>8</v>
      </c>
      <c r="Q53" s="2"/>
      <c r="R53" s="2" t="s">
        <v>147</v>
      </c>
      <c r="S53" s="4">
        <v>60</v>
      </c>
      <c r="V53" s="1"/>
      <c r="W53" s="4">
        <f>MONTH(__Anonymous_Sheet_DB__0[[#This Row],[Date / Time]])</f>
        <v>7</v>
      </c>
      <c r="X53" s="15">
        <f>__Anonymous_Sheet_DB__0[[#This Row],[Date / Time]]</f>
        <v>43659.484722222223</v>
      </c>
      <c r="Y53" s="4">
        <f t="shared" si="0"/>
        <v>2019</v>
      </c>
      <c r="Z53" s="4">
        <f t="shared" si="1"/>
        <v>28</v>
      </c>
    </row>
    <row r="54" spans="1:26" ht="38.25">
      <c r="A54" s="2">
        <f t="shared" si="12"/>
        <v>1852</v>
      </c>
      <c r="B54" s="10" t="s">
        <v>148</v>
      </c>
      <c r="C54" s="11">
        <v>43659.606944444444</v>
      </c>
      <c r="D54" s="4">
        <v>13</v>
      </c>
      <c r="E54" s="4">
        <v>8.5999999999999979</v>
      </c>
      <c r="F54" s="4">
        <v>212</v>
      </c>
      <c r="G54" s="4">
        <v>117</v>
      </c>
      <c r="H54" s="4">
        <v>25</v>
      </c>
      <c r="I54" s="4">
        <v>10</v>
      </c>
      <c r="J54" s="4">
        <v>3</v>
      </c>
      <c r="K54" s="2" t="s">
        <v>149</v>
      </c>
      <c r="L54" s="12">
        <f t="shared" si="9"/>
        <v>950</v>
      </c>
      <c r="M54" s="13">
        <f t="shared" si="10"/>
        <v>16.521739130434785</v>
      </c>
      <c r="N54" s="13">
        <f t="shared" si="11"/>
        <v>20.430107526881724</v>
      </c>
      <c r="O54" s="12">
        <v>10.5</v>
      </c>
      <c r="P54" s="12">
        <v>8</v>
      </c>
      <c r="Q54" s="2" t="s">
        <v>150</v>
      </c>
      <c r="R54" s="2"/>
      <c r="S54" s="4">
        <v>45</v>
      </c>
      <c r="V54" s="1"/>
      <c r="W54" s="4">
        <f>MONTH(__Anonymous_Sheet_DB__0[[#This Row],[Date / Time]])</f>
        <v>7</v>
      </c>
      <c r="X54" s="15">
        <f>__Anonymous_Sheet_DB__0[[#This Row],[Date / Time]]</f>
        <v>43659.606944444444</v>
      </c>
      <c r="Y54" s="4">
        <f t="shared" si="0"/>
        <v>2019</v>
      </c>
      <c r="Z54" s="4">
        <f t="shared" si="1"/>
        <v>28</v>
      </c>
    </row>
    <row r="55" spans="1:26" ht="25.5">
      <c r="A55" s="2">
        <f t="shared" si="12"/>
        <v>1853</v>
      </c>
      <c r="B55" s="10" t="s">
        <v>151</v>
      </c>
      <c r="C55" s="11">
        <v>43673.449305555558</v>
      </c>
      <c r="D55" s="4">
        <v>21</v>
      </c>
      <c r="E55" s="4">
        <v>13.3</v>
      </c>
      <c r="F55" s="4">
        <v>271</v>
      </c>
      <c r="G55" s="4">
        <v>122</v>
      </c>
      <c r="H55" s="4">
        <v>48</v>
      </c>
      <c r="I55" s="4">
        <v>12</v>
      </c>
      <c r="J55" s="4">
        <v>3</v>
      </c>
      <c r="K55" s="2" t="s">
        <v>152</v>
      </c>
      <c r="L55" s="12">
        <f t="shared" si="9"/>
        <v>1788</v>
      </c>
      <c r="M55" s="13">
        <f t="shared" si="10"/>
        <v>12.016129032258064</v>
      </c>
      <c r="N55" s="13">
        <f t="shared" si="11"/>
        <v>15.987124463519313</v>
      </c>
      <c r="O55" s="12">
        <v>12.4</v>
      </c>
      <c r="P55" s="12">
        <v>10</v>
      </c>
      <c r="Q55" s="2"/>
      <c r="R55" s="2"/>
      <c r="V55" s="1"/>
      <c r="W55" s="4">
        <f>MONTH(__Anonymous_Sheet_DB__0[[#This Row],[Date / Time]])</f>
        <v>7</v>
      </c>
      <c r="X55" s="15">
        <f>__Anonymous_Sheet_DB__0[[#This Row],[Date / Time]]</f>
        <v>43673.449305555558</v>
      </c>
      <c r="Y55" s="4">
        <f t="shared" si="0"/>
        <v>2019</v>
      </c>
      <c r="Z55" s="4">
        <f t="shared" si="1"/>
        <v>30</v>
      </c>
    </row>
    <row r="56" spans="1:26" ht="25.5">
      <c r="A56" s="2">
        <f t="shared" si="12"/>
        <v>1854</v>
      </c>
      <c r="B56" s="10" t="s">
        <v>153</v>
      </c>
      <c r="C56" s="11">
        <v>43673.514583333315</v>
      </c>
      <c r="D56" s="4">
        <v>14</v>
      </c>
      <c r="E56" s="4">
        <v>8.0999999999999979</v>
      </c>
      <c r="F56" s="4">
        <v>115</v>
      </c>
      <c r="G56" s="4">
        <v>49</v>
      </c>
      <c r="H56" s="4">
        <v>32</v>
      </c>
      <c r="I56" s="4">
        <v>12</v>
      </c>
      <c r="J56" s="4">
        <v>3</v>
      </c>
      <c r="K56" s="2" t="s">
        <v>154</v>
      </c>
      <c r="L56" s="12">
        <f t="shared" si="9"/>
        <v>792</v>
      </c>
      <c r="M56" s="13">
        <f t="shared" si="10"/>
        <v>10.3125</v>
      </c>
      <c r="N56" s="13">
        <f t="shared" si="11"/>
        <v>13.674033149171272</v>
      </c>
      <c r="O56" s="12">
        <v>13.3</v>
      </c>
      <c r="P56" s="12">
        <v>8</v>
      </c>
      <c r="Q56" s="2"/>
      <c r="R56" s="2"/>
      <c r="V56" s="1"/>
      <c r="W56" s="4">
        <f>MONTH(__Anonymous_Sheet_DB__0[[#This Row],[Date / Time]])</f>
        <v>7</v>
      </c>
      <c r="X56" s="15">
        <f>__Anonymous_Sheet_DB__0[[#This Row],[Date / Time]]</f>
        <v>43673.514583333315</v>
      </c>
      <c r="Y56" s="4">
        <f t="shared" si="0"/>
        <v>2019</v>
      </c>
      <c r="Z56" s="4">
        <f t="shared" si="1"/>
        <v>30</v>
      </c>
    </row>
    <row r="57" spans="1:26" ht="25.5">
      <c r="A57" s="2">
        <f t="shared" si="12"/>
        <v>1855</v>
      </c>
      <c r="B57" s="10" t="s">
        <v>155</v>
      </c>
      <c r="C57" s="11">
        <v>43680.442361111112</v>
      </c>
      <c r="D57" s="4">
        <v>25</v>
      </c>
      <c r="E57" s="4">
        <v>14.8</v>
      </c>
      <c r="F57" s="4">
        <v>273</v>
      </c>
      <c r="G57" s="4">
        <v>119</v>
      </c>
      <c r="H57" s="4">
        <v>48</v>
      </c>
      <c r="I57" s="4">
        <v>12</v>
      </c>
      <c r="J57" s="4">
        <v>3</v>
      </c>
      <c r="K57" s="2" t="s">
        <v>156</v>
      </c>
      <c r="L57" s="12">
        <f t="shared" si="9"/>
        <v>1848</v>
      </c>
      <c r="M57" s="13">
        <f t="shared" si="10"/>
        <v>11</v>
      </c>
      <c r="N57" s="13">
        <f t="shared" si="11"/>
        <v>15.524193548387096</v>
      </c>
      <c r="O57" s="12">
        <v>13.1</v>
      </c>
      <c r="P57" s="12">
        <v>7</v>
      </c>
      <c r="Q57" s="2"/>
      <c r="R57" s="2"/>
      <c r="V57" s="1"/>
      <c r="W57" s="4">
        <f>MONTH(__Anonymous_Sheet_DB__0[[#This Row],[Date / Time]])</f>
        <v>8</v>
      </c>
      <c r="X57" s="15">
        <f>__Anonymous_Sheet_DB__0[[#This Row],[Date / Time]]</f>
        <v>43680.442361111112</v>
      </c>
      <c r="Y57" s="4">
        <f t="shared" si="0"/>
        <v>2019</v>
      </c>
      <c r="Z57" s="4">
        <f t="shared" si="1"/>
        <v>31</v>
      </c>
    </row>
    <row r="58" spans="1:26" ht="25.5">
      <c r="A58" s="2">
        <f t="shared" si="12"/>
        <v>1856</v>
      </c>
      <c r="B58" s="10" t="s">
        <v>157</v>
      </c>
      <c r="C58" s="11">
        <v>43680.518055555556</v>
      </c>
      <c r="D58" s="4">
        <v>23</v>
      </c>
      <c r="E58" s="4">
        <v>13</v>
      </c>
      <c r="F58" s="4">
        <v>213</v>
      </c>
      <c r="G58" s="4">
        <v>96</v>
      </c>
      <c r="H58" s="4">
        <v>43</v>
      </c>
      <c r="I58" s="4">
        <v>12.2</v>
      </c>
      <c r="J58" s="4">
        <v>3</v>
      </c>
      <c r="K58" s="2" t="s">
        <v>158</v>
      </c>
      <c r="L58" s="12">
        <f t="shared" si="9"/>
        <v>1427.3999999999999</v>
      </c>
      <c r="M58" s="13">
        <f t="shared" si="10"/>
        <v>10.059196617336152</v>
      </c>
      <c r="N58" s="13">
        <f t="shared" si="11"/>
        <v>14.432760364004043</v>
      </c>
      <c r="O58" s="12">
        <v>13.1</v>
      </c>
      <c r="P58" s="12">
        <v>8</v>
      </c>
      <c r="Q58" s="2"/>
      <c r="R58" s="2"/>
      <c r="V58" s="1"/>
      <c r="W58" s="4">
        <f>MONTH(__Anonymous_Sheet_DB__0[[#This Row],[Date / Time]])</f>
        <v>8</v>
      </c>
      <c r="X58" s="15">
        <f>__Anonymous_Sheet_DB__0[[#This Row],[Date / Time]]</f>
        <v>43680.518055555556</v>
      </c>
      <c r="Y58" s="4">
        <f t="shared" si="0"/>
        <v>2019</v>
      </c>
      <c r="Z58" s="4">
        <f t="shared" si="1"/>
        <v>31</v>
      </c>
    </row>
    <row r="59" spans="1:26" ht="38.25">
      <c r="A59" s="2">
        <f t="shared" si="12"/>
        <v>1857</v>
      </c>
      <c r="B59" s="10" t="s">
        <v>148</v>
      </c>
      <c r="C59" s="11">
        <v>43687.484027777777</v>
      </c>
      <c r="D59" s="4">
        <v>13</v>
      </c>
      <c r="E59" s="4">
        <v>9.6999999999999993</v>
      </c>
      <c r="F59" s="4">
        <v>220</v>
      </c>
      <c r="G59" s="4">
        <v>129</v>
      </c>
      <c r="H59" s="4">
        <v>33</v>
      </c>
      <c r="I59" s="4">
        <v>12.2</v>
      </c>
      <c r="J59" s="4">
        <v>3</v>
      </c>
      <c r="K59" s="2" t="s">
        <v>159</v>
      </c>
      <c r="L59" s="12">
        <f t="shared" si="9"/>
        <v>1110.2</v>
      </c>
      <c r="M59" s="13">
        <f t="shared" si="10"/>
        <v>14.627140974967062</v>
      </c>
      <c r="N59" s="13">
        <f t="shared" si="11"/>
        <v>17.077372711890479</v>
      </c>
      <c r="O59" s="12">
        <v>11.8</v>
      </c>
      <c r="P59" s="12">
        <v>8</v>
      </c>
      <c r="Q59" s="2"/>
      <c r="R59" s="2" t="s">
        <v>147</v>
      </c>
      <c r="S59" s="4">
        <v>75</v>
      </c>
      <c r="V59" s="1"/>
      <c r="W59" s="4">
        <f>MONTH(__Anonymous_Sheet_DB__0[[#This Row],[Date / Time]])</f>
        <v>8</v>
      </c>
      <c r="X59" s="15">
        <f>__Anonymous_Sheet_DB__0[[#This Row],[Date / Time]]</f>
        <v>43687.484027777777</v>
      </c>
      <c r="Y59" s="4">
        <f t="shared" si="0"/>
        <v>2019</v>
      </c>
      <c r="Z59" s="4">
        <f t="shared" si="1"/>
        <v>32</v>
      </c>
    </row>
    <row r="60" spans="1:26" ht="38.25">
      <c r="A60" s="2">
        <f t="shared" si="12"/>
        <v>1858</v>
      </c>
      <c r="B60" s="10" t="s">
        <v>148</v>
      </c>
      <c r="C60" s="11">
        <v>43687.597222222219</v>
      </c>
      <c r="D60" s="4">
        <v>12</v>
      </c>
      <c r="E60" s="4">
        <v>8.8000000000000007</v>
      </c>
      <c r="F60" s="4">
        <v>207</v>
      </c>
      <c r="G60" s="4">
        <v>133</v>
      </c>
      <c r="H60" s="4">
        <v>32</v>
      </c>
      <c r="I60" s="4">
        <v>12.2</v>
      </c>
      <c r="J60" s="4">
        <v>3</v>
      </c>
      <c r="K60" s="2" t="s">
        <v>159</v>
      </c>
      <c r="L60" s="12">
        <f t="shared" si="9"/>
        <v>902.8</v>
      </c>
      <c r="M60" s="13">
        <f t="shared" si="10"/>
        <v>12.823863636363635</v>
      </c>
      <c r="N60" s="13">
        <f t="shared" si="11"/>
        <v>15.006648936170212</v>
      </c>
      <c r="O60" s="12">
        <v>11.6</v>
      </c>
      <c r="P60" s="12">
        <v>8</v>
      </c>
      <c r="Q60" s="2" t="s">
        <v>150</v>
      </c>
      <c r="R60" s="2"/>
      <c r="S60" s="4">
        <v>60</v>
      </c>
      <c r="V60" s="1"/>
      <c r="W60" s="4">
        <f>MONTH(__Anonymous_Sheet_DB__0[[#This Row],[Date / Time]])</f>
        <v>8</v>
      </c>
      <c r="X60" s="15">
        <f>__Anonymous_Sheet_DB__0[[#This Row],[Date / Time]]</f>
        <v>43687.597222222219</v>
      </c>
      <c r="Y60" s="4">
        <f t="shared" si="0"/>
        <v>2019</v>
      </c>
      <c r="Z60" s="4">
        <f t="shared" si="1"/>
        <v>32</v>
      </c>
    </row>
    <row r="61" spans="1:26" ht="25.5">
      <c r="A61" s="2">
        <f t="shared" si="12"/>
        <v>1859</v>
      </c>
      <c r="B61" s="10" t="s">
        <v>116</v>
      </c>
      <c r="C61" s="11">
        <v>43690.770138888889</v>
      </c>
      <c r="D61" s="4">
        <v>24</v>
      </c>
      <c r="E61" s="4">
        <v>12.1</v>
      </c>
      <c r="F61" s="4">
        <v>261</v>
      </c>
      <c r="G61" s="4">
        <v>123</v>
      </c>
      <c r="H61" s="4">
        <v>43</v>
      </c>
      <c r="I61" s="4">
        <v>12</v>
      </c>
      <c r="J61" s="4">
        <v>3</v>
      </c>
      <c r="K61" s="2" t="s">
        <v>160</v>
      </c>
      <c r="L61" s="12">
        <f t="shared" si="9"/>
        <v>1656</v>
      </c>
      <c r="M61" s="13">
        <f t="shared" si="10"/>
        <v>11.326949384404925</v>
      </c>
      <c r="N61" s="13">
        <f t="shared" si="11"/>
        <v>17.426075976007578</v>
      </c>
      <c r="O61" s="12">
        <v>10.4</v>
      </c>
      <c r="P61" s="12">
        <v>8</v>
      </c>
      <c r="Q61" s="2"/>
      <c r="R61" s="2"/>
      <c r="V61" s="1"/>
      <c r="W61" s="4">
        <f>MONTH(__Anonymous_Sheet_DB__0[[#This Row],[Date / Time]])</f>
        <v>8</v>
      </c>
      <c r="X61" s="15">
        <f>__Anonymous_Sheet_DB__0[[#This Row],[Date / Time]]</f>
        <v>43690.770138888889</v>
      </c>
      <c r="Y61" s="4">
        <f t="shared" si="0"/>
        <v>2019</v>
      </c>
      <c r="Z61" s="4">
        <f t="shared" si="1"/>
        <v>33</v>
      </c>
    </row>
    <row r="62" spans="1:26" ht="25.5">
      <c r="A62" s="2">
        <f t="shared" si="12"/>
        <v>1860</v>
      </c>
      <c r="B62" s="10" t="s">
        <v>52</v>
      </c>
      <c r="C62" s="11">
        <v>43701.456250000003</v>
      </c>
      <c r="D62" s="4">
        <v>31</v>
      </c>
      <c r="E62" s="4">
        <v>14.8</v>
      </c>
      <c r="F62" s="4">
        <v>278</v>
      </c>
      <c r="G62" s="4">
        <v>115</v>
      </c>
      <c r="H62" s="4">
        <v>43</v>
      </c>
      <c r="I62" s="4">
        <v>12</v>
      </c>
      <c r="J62" s="4">
        <v>3</v>
      </c>
      <c r="K62" s="2" t="s">
        <v>161</v>
      </c>
      <c r="L62" s="12">
        <f t="shared" ref="L62:L94" si="13">(F62-G62)*I62</f>
        <v>1956</v>
      </c>
      <c r="M62" s="13">
        <f t="shared" ref="M62:M93" si="14">L62/H62/((D62/10)+1)</f>
        <v>11.094724900737381</v>
      </c>
      <c r="N62" s="13">
        <f t="shared" ref="N62:N94" si="15">L62/((E62/10)+1)/H62</f>
        <v>18.342085521380344</v>
      </c>
      <c r="O62" s="12">
        <v>13</v>
      </c>
      <c r="P62" s="12">
        <v>5.5</v>
      </c>
      <c r="Q62" s="2"/>
      <c r="R62" s="2" t="s">
        <v>162</v>
      </c>
      <c r="S62" s="4">
        <v>45</v>
      </c>
      <c r="V62" s="1"/>
      <c r="W62" s="4">
        <f>MONTH(__Anonymous_Sheet_DB__0[[#This Row],[Date / Time]])</f>
        <v>8</v>
      </c>
      <c r="X62" s="15">
        <f>__Anonymous_Sheet_DB__0[[#This Row],[Date / Time]]</f>
        <v>43701.456250000003</v>
      </c>
      <c r="Y62" s="4">
        <f t="shared" si="0"/>
        <v>2019</v>
      </c>
      <c r="Z62" s="4">
        <f t="shared" si="1"/>
        <v>34</v>
      </c>
    </row>
    <row r="63" spans="1:26" ht="25.5">
      <c r="A63" s="2">
        <f t="shared" si="12"/>
        <v>1861</v>
      </c>
      <c r="B63" s="10" t="s">
        <v>52</v>
      </c>
      <c r="C63" s="11">
        <v>43701.540972222218</v>
      </c>
      <c r="D63" s="4">
        <v>15</v>
      </c>
      <c r="E63" s="4">
        <v>10.4</v>
      </c>
      <c r="F63" s="4">
        <v>228</v>
      </c>
      <c r="G63" s="4">
        <v>115</v>
      </c>
      <c r="H63" s="4">
        <v>48</v>
      </c>
      <c r="I63" s="4">
        <v>12.2</v>
      </c>
      <c r="J63" s="4">
        <v>3</v>
      </c>
      <c r="K63" s="2" t="s">
        <v>161</v>
      </c>
      <c r="L63" s="12">
        <f t="shared" si="13"/>
        <v>1378.6</v>
      </c>
      <c r="M63" s="13">
        <f t="shared" si="14"/>
        <v>11.488333333333333</v>
      </c>
      <c r="N63" s="13">
        <f t="shared" si="15"/>
        <v>14.078839869281046</v>
      </c>
      <c r="O63" s="12">
        <v>13.2</v>
      </c>
      <c r="P63" s="12">
        <v>6</v>
      </c>
      <c r="Q63" s="2"/>
      <c r="R63" s="2"/>
      <c r="V63" s="1"/>
      <c r="W63" s="4">
        <f>MONTH(__Anonymous_Sheet_DB__0[[#This Row],[Date / Time]])</f>
        <v>8</v>
      </c>
      <c r="X63" s="15">
        <f>__Anonymous_Sheet_DB__0[[#This Row],[Date / Time]]</f>
        <v>43701.540972222218</v>
      </c>
      <c r="Y63" s="4">
        <f t="shared" si="0"/>
        <v>2019</v>
      </c>
      <c r="Z63" s="4">
        <f t="shared" si="1"/>
        <v>34</v>
      </c>
    </row>
    <row r="64" spans="1:26" ht="25.5">
      <c r="A64" s="2">
        <f t="shared" si="12"/>
        <v>1862</v>
      </c>
      <c r="B64" s="10" t="s">
        <v>143</v>
      </c>
      <c r="C64" s="11">
        <v>43715.443749999999</v>
      </c>
      <c r="D64" s="4">
        <v>31</v>
      </c>
      <c r="E64" s="4">
        <v>14.3</v>
      </c>
      <c r="F64" s="4">
        <v>217</v>
      </c>
      <c r="G64" s="4">
        <v>83</v>
      </c>
      <c r="H64" s="4">
        <v>49</v>
      </c>
      <c r="I64" s="4">
        <v>12.2</v>
      </c>
      <c r="J64" s="4">
        <v>3</v>
      </c>
      <c r="K64" s="2" t="s">
        <v>154</v>
      </c>
      <c r="L64" s="12">
        <f t="shared" si="13"/>
        <v>1634.8</v>
      </c>
      <c r="M64" s="13">
        <f t="shared" si="14"/>
        <v>8.1373817819810856</v>
      </c>
      <c r="N64" s="13">
        <f t="shared" si="15"/>
        <v>13.729738809103887</v>
      </c>
      <c r="O64" s="12">
        <v>13.3</v>
      </c>
      <c r="P64" s="12">
        <v>8</v>
      </c>
      <c r="Q64" s="2"/>
      <c r="R64" s="2"/>
      <c r="V64" s="1"/>
      <c r="W64" s="4">
        <f>MONTH(__Anonymous_Sheet_DB__0[[#This Row],[Date / Time]])</f>
        <v>9</v>
      </c>
      <c r="X64" s="15">
        <f>__Anonymous_Sheet_DB__0[[#This Row],[Date / Time]]</f>
        <v>43715.443749999999</v>
      </c>
      <c r="Y64" s="4">
        <f t="shared" si="0"/>
        <v>2019</v>
      </c>
      <c r="Z64" s="4">
        <f t="shared" si="1"/>
        <v>36</v>
      </c>
    </row>
    <row r="65" spans="1:26" ht="25.5">
      <c r="A65" s="2">
        <f t="shared" si="12"/>
        <v>1863</v>
      </c>
      <c r="B65" s="10" t="s">
        <v>143</v>
      </c>
      <c r="C65" s="11">
        <v>43715.518750000003</v>
      </c>
      <c r="D65" s="4">
        <v>25</v>
      </c>
      <c r="E65" s="4">
        <v>15</v>
      </c>
      <c r="F65" s="4">
        <v>225</v>
      </c>
      <c r="G65" s="4">
        <v>107</v>
      </c>
      <c r="H65" s="4">
        <v>39</v>
      </c>
      <c r="I65" s="4">
        <v>12.2</v>
      </c>
      <c r="J65" s="4">
        <v>3</v>
      </c>
      <c r="K65" s="2" t="s">
        <v>156</v>
      </c>
      <c r="L65" s="12">
        <f t="shared" si="13"/>
        <v>1439.6</v>
      </c>
      <c r="M65" s="13">
        <f t="shared" si="14"/>
        <v>10.546520146520146</v>
      </c>
      <c r="N65" s="13">
        <f t="shared" si="15"/>
        <v>14.765128205128203</v>
      </c>
      <c r="O65" s="12">
        <v>13.3</v>
      </c>
      <c r="P65" s="12">
        <v>8</v>
      </c>
      <c r="Q65" s="2"/>
      <c r="R65" s="2"/>
      <c r="V65" s="1"/>
      <c r="W65" s="4">
        <f>MONTH(__Anonymous_Sheet_DB__0[[#This Row],[Date / Time]])</f>
        <v>9</v>
      </c>
      <c r="X65" s="15">
        <f>__Anonymous_Sheet_DB__0[[#This Row],[Date / Time]]</f>
        <v>43715.518750000003</v>
      </c>
      <c r="Y65" s="4">
        <f t="shared" si="0"/>
        <v>2019</v>
      </c>
      <c r="Z65" s="4">
        <f t="shared" si="1"/>
        <v>36</v>
      </c>
    </row>
    <row r="66" spans="1:26" ht="25.5">
      <c r="A66" s="2">
        <f t="shared" si="12"/>
        <v>1864</v>
      </c>
      <c r="B66" s="10" t="s">
        <v>163</v>
      </c>
      <c r="C66" s="11">
        <v>43731.329166666685</v>
      </c>
      <c r="D66" s="4">
        <v>18</v>
      </c>
      <c r="E66" s="4">
        <v>10.5</v>
      </c>
      <c r="F66" s="4">
        <v>185</v>
      </c>
      <c r="G66" s="4">
        <v>75</v>
      </c>
      <c r="H66" s="4">
        <v>47</v>
      </c>
      <c r="I66" s="4">
        <v>11.093999999999999</v>
      </c>
      <c r="J66" s="4">
        <v>3</v>
      </c>
      <c r="K66" s="2" t="s">
        <v>164</v>
      </c>
      <c r="L66" s="12">
        <f t="shared" si="13"/>
        <v>1220.3399999999999</v>
      </c>
      <c r="M66" s="13">
        <f t="shared" si="14"/>
        <v>9.2731003039513684</v>
      </c>
      <c r="N66" s="13">
        <f t="shared" si="15"/>
        <v>12.665697976128696</v>
      </c>
      <c r="O66" s="12">
        <v>28.4</v>
      </c>
      <c r="P66" s="12">
        <v>12</v>
      </c>
      <c r="Q66" s="2"/>
      <c r="R66" s="2"/>
      <c r="V66" s="1"/>
      <c r="W66" s="4">
        <f>MONTH(__Anonymous_Sheet_DB__0[[#This Row],[Date / Time]])</f>
        <v>9</v>
      </c>
      <c r="X66" s="15">
        <f>__Anonymous_Sheet_DB__0[[#This Row],[Date / Time]]</f>
        <v>43731.329166666685</v>
      </c>
      <c r="Y66" s="4">
        <f t="shared" ref="Y66:Y129" si="16">YEAR(C66)</f>
        <v>2019</v>
      </c>
      <c r="Z66" s="4">
        <f t="shared" ref="Z66:Z129" si="17">WEEKNUM(C66,1)</f>
        <v>39</v>
      </c>
    </row>
    <row r="67" spans="1:26" ht="38.25">
      <c r="A67" s="2">
        <f t="shared" ref="A67:A102" si="18">A66+1</f>
        <v>1865</v>
      </c>
      <c r="B67" s="10" t="s">
        <v>165</v>
      </c>
      <c r="C67" s="11">
        <v>43731.40625</v>
      </c>
      <c r="D67" s="4">
        <v>17</v>
      </c>
      <c r="E67" s="4">
        <v>10.6</v>
      </c>
      <c r="F67" s="4">
        <v>196</v>
      </c>
      <c r="G67" s="4">
        <v>57</v>
      </c>
      <c r="H67" s="4">
        <v>58</v>
      </c>
      <c r="I67" s="4">
        <v>11.093999999999999</v>
      </c>
      <c r="J67" s="4">
        <v>3</v>
      </c>
      <c r="K67" s="2" t="s">
        <v>164</v>
      </c>
      <c r="L67" s="12">
        <f t="shared" si="13"/>
        <v>1542.066</v>
      </c>
      <c r="M67" s="13">
        <f t="shared" si="14"/>
        <v>9.8471647509578535</v>
      </c>
      <c r="N67" s="13">
        <f t="shared" si="15"/>
        <v>12.906478071643789</v>
      </c>
      <c r="O67" s="12">
        <v>28.2</v>
      </c>
      <c r="P67" s="12">
        <v>12</v>
      </c>
      <c r="Q67" s="2"/>
      <c r="R67" s="2"/>
      <c r="V67" s="1"/>
      <c r="W67" s="4">
        <f>MONTH(__Anonymous_Sheet_DB__0[[#This Row],[Date / Time]])</f>
        <v>9</v>
      </c>
      <c r="X67" s="15">
        <f>__Anonymous_Sheet_DB__0[[#This Row],[Date / Time]]</f>
        <v>43731.40625</v>
      </c>
      <c r="Y67" s="4">
        <f t="shared" si="16"/>
        <v>2019</v>
      </c>
      <c r="Z67" s="4">
        <f t="shared" si="17"/>
        <v>39</v>
      </c>
    </row>
    <row r="68" spans="1:26" ht="38.25">
      <c r="A68" s="2">
        <f t="shared" si="18"/>
        <v>1866</v>
      </c>
      <c r="B68" s="10" t="s">
        <v>166</v>
      </c>
      <c r="C68" s="11">
        <v>43732.331250000003</v>
      </c>
      <c r="D68" s="4">
        <v>28</v>
      </c>
      <c r="E68" s="4">
        <v>17.100000000000001</v>
      </c>
      <c r="F68" s="4">
        <v>193</v>
      </c>
      <c r="G68" s="4">
        <v>67</v>
      </c>
      <c r="H68" s="4">
        <v>41</v>
      </c>
      <c r="I68" s="4">
        <v>11.093999999999999</v>
      </c>
      <c r="J68" s="4">
        <v>3</v>
      </c>
      <c r="K68" s="2" t="s">
        <v>164</v>
      </c>
      <c r="L68" s="12">
        <f t="shared" si="13"/>
        <v>1397.8439999999998</v>
      </c>
      <c r="M68" s="13">
        <f t="shared" si="14"/>
        <v>8.9720410783055193</v>
      </c>
      <c r="N68" s="13">
        <f t="shared" si="15"/>
        <v>12.580721807218072</v>
      </c>
      <c r="O68" s="12">
        <v>28</v>
      </c>
      <c r="P68" s="12">
        <v>12</v>
      </c>
      <c r="Q68" s="2"/>
      <c r="R68" s="2"/>
      <c r="V68" s="1"/>
      <c r="W68" s="4">
        <f>MONTH(__Anonymous_Sheet_DB__0[[#This Row],[Date / Time]])</f>
        <v>9</v>
      </c>
      <c r="X68" s="15">
        <f>__Anonymous_Sheet_DB__0[[#This Row],[Date / Time]]</f>
        <v>43732.331250000003</v>
      </c>
      <c r="Y68" s="4">
        <f t="shared" si="16"/>
        <v>2019</v>
      </c>
      <c r="Z68" s="4">
        <f t="shared" si="17"/>
        <v>39</v>
      </c>
    </row>
    <row r="69" spans="1:26" ht="25.5">
      <c r="A69" s="2">
        <f t="shared" si="18"/>
        <v>1867</v>
      </c>
      <c r="B69" s="10" t="s">
        <v>167</v>
      </c>
      <c r="C69" s="11">
        <v>43732.401388888888</v>
      </c>
      <c r="D69" s="4">
        <v>15</v>
      </c>
      <c r="E69" s="4">
        <v>11.1</v>
      </c>
      <c r="F69" s="4">
        <v>197</v>
      </c>
      <c r="G69" s="4">
        <v>65</v>
      </c>
      <c r="H69" s="4">
        <v>57</v>
      </c>
      <c r="I69" s="4">
        <v>11.093999999999999</v>
      </c>
      <c r="J69" s="4">
        <v>3</v>
      </c>
      <c r="K69" s="2" t="s">
        <v>164</v>
      </c>
      <c r="L69" s="12">
        <f t="shared" si="13"/>
        <v>1464.4079999999999</v>
      </c>
      <c r="M69" s="13">
        <f t="shared" si="14"/>
        <v>10.276547368421053</v>
      </c>
      <c r="N69" s="13">
        <f t="shared" si="15"/>
        <v>12.176003991020204</v>
      </c>
      <c r="O69" s="12">
        <v>28.5</v>
      </c>
      <c r="P69" s="12">
        <v>12</v>
      </c>
      <c r="Q69" s="2"/>
      <c r="R69" s="2"/>
      <c r="V69" s="1"/>
      <c r="W69" s="4">
        <f>MONTH(__Anonymous_Sheet_DB__0[[#This Row],[Date / Time]])</f>
        <v>9</v>
      </c>
      <c r="X69" s="15">
        <f>__Anonymous_Sheet_DB__0[[#This Row],[Date / Time]]</f>
        <v>43732.401388888888</v>
      </c>
      <c r="Y69" s="4">
        <f t="shared" si="16"/>
        <v>2019</v>
      </c>
      <c r="Z69" s="4">
        <f t="shared" si="17"/>
        <v>39</v>
      </c>
    </row>
    <row r="70" spans="1:26" ht="38.25">
      <c r="A70" s="2">
        <f t="shared" si="18"/>
        <v>1868</v>
      </c>
      <c r="B70" s="10" t="s">
        <v>168</v>
      </c>
      <c r="C70" s="11">
        <v>43732.518055555556</v>
      </c>
      <c r="D70" s="4">
        <v>15</v>
      </c>
      <c r="E70" s="4">
        <v>11</v>
      </c>
      <c r="F70" s="4">
        <v>190</v>
      </c>
      <c r="G70" s="4">
        <v>89</v>
      </c>
      <c r="H70" s="4">
        <v>45</v>
      </c>
      <c r="I70" s="4">
        <v>11.093999999999999</v>
      </c>
      <c r="J70" s="4">
        <v>3</v>
      </c>
      <c r="K70" s="2" t="s">
        <v>164</v>
      </c>
      <c r="L70" s="12">
        <f t="shared" si="13"/>
        <v>1120.4939999999999</v>
      </c>
      <c r="M70" s="13">
        <f t="shared" si="14"/>
        <v>9.9599466666666654</v>
      </c>
      <c r="N70" s="13">
        <f t="shared" si="15"/>
        <v>11.857079365079363</v>
      </c>
      <c r="O70" s="12">
        <v>28.6</v>
      </c>
      <c r="P70" s="12">
        <v>12</v>
      </c>
      <c r="Q70" s="2"/>
      <c r="R70" s="2"/>
      <c r="V70" s="1"/>
      <c r="W70" s="4">
        <f>MONTH(__Anonymous_Sheet_DB__0[[#This Row],[Date / Time]])</f>
        <v>9</v>
      </c>
      <c r="X70" s="15">
        <f>__Anonymous_Sheet_DB__0[[#This Row],[Date / Time]]</f>
        <v>43732.518055555556</v>
      </c>
      <c r="Y70" s="4">
        <f t="shared" si="16"/>
        <v>2019</v>
      </c>
      <c r="Z70" s="4">
        <f t="shared" si="17"/>
        <v>39</v>
      </c>
    </row>
    <row r="71" spans="1:26" ht="38.25">
      <c r="A71" s="2">
        <f t="shared" si="18"/>
        <v>1869</v>
      </c>
      <c r="B71" s="10" t="s">
        <v>165</v>
      </c>
      <c r="C71" s="11">
        <v>43732.598611111112</v>
      </c>
      <c r="D71" s="4">
        <v>17</v>
      </c>
      <c r="E71" s="4">
        <v>11.8</v>
      </c>
      <c r="F71" s="4">
        <v>198</v>
      </c>
      <c r="G71" s="4">
        <v>86</v>
      </c>
      <c r="H71" s="4">
        <v>45</v>
      </c>
      <c r="I71" s="4">
        <v>11.093999999999999</v>
      </c>
      <c r="J71" s="4">
        <v>3</v>
      </c>
      <c r="K71" s="2" t="s">
        <v>164</v>
      </c>
      <c r="L71" s="12">
        <f t="shared" si="13"/>
        <v>1242.528</v>
      </c>
      <c r="M71" s="13">
        <f t="shared" si="14"/>
        <v>10.226567901234567</v>
      </c>
      <c r="N71" s="13">
        <f t="shared" si="15"/>
        <v>12.665932721712537</v>
      </c>
      <c r="O71" s="12">
        <v>28.6</v>
      </c>
      <c r="P71" s="12">
        <v>12</v>
      </c>
      <c r="Q71" s="2"/>
      <c r="R71" s="2"/>
      <c r="V71" s="1"/>
      <c r="W71" s="4">
        <f>MONTH(__Anonymous_Sheet_DB__0[[#This Row],[Date / Time]])</f>
        <v>9</v>
      </c>
      <c r="X71" s="15">
        <f>__Anonymous_Sheet_DB__0[[#This Row],[Date / Time]]</f>
        <v>43732.598611111112</v>
      </c>
      <c r="Y71" s="4">
        <f t="shared" si="16"/>
        <v>2019</v>
      </c>
      <c r="Z71" s="4">
        <f t="shared" si="17"/>
        <v>39</v>
      </c>
    </row>
    <row r="72" spans="1:26" ht="25.5">
      <c r="A72" s="2">
        <f t="shared" si="18"/>
        <v>1870</v>
      </c>
      <c r="B72" s="10" t="s">
        <v>163</v>
      </c>
      <c r="C72" s="11">
        <v>43733.313194444447</v>
      </c>
      <c r="D72" s="4">
        <v>18</v>
      </c>
      <c r="E72" s="4">
        <v>13.9</v>
      </c>
      <c r="F72" s="4">
        <v>198</v>
      </c>
      <c r="G72" s="4">
        <v>55</v>
      </c>
      <c r="H72" s="4">
        <v>62</v>
      </c>
      <c r="I72" s="4">
        <v>11.093999999999999</v>
      </c>
      <c r="J72" s="4">
        <v>3</v>
      </c>
      <c r="K72" s="2" t="s">
        <v>164</v>
      </c>
      <c r="L72" s="12">
        <f t="shared" si="13"/>
        <v>1586.442</v>
      </c>
      <c r="M72" s="13">
        <f t="shared" si="14"/>
        <v>9.1384907834101394</v>
      </c>
      <c r="N72" s="13">
        <f t="shared" si="15"/>
        <v>10.706181670940747</v>
      </c>
      <c r="O72" s="12">
        <v>28.5</v>
      </c>
      <c r="P72" s="12">
        <v>12</v>
      </c>
      <c r="Q72" s="2"/>
      <c r="R72" s="2"/>
      <c r="V72" s="1"/>
      <c r="W72" s="4">
        <f>MONTH(__Anonymous_Sheet_DB__0[[#This Row],[Date / Time]])</f>
        <v>9</v>
      </c>
      <c r="X72" s="15">
        <f>__Anonymous_Sheet_DB__0[[#This Row],[Date / Time]]</f>
        <v>43733.313194444447</v>
      </c>
      <c r="Y72" s="4">
        <f t="shared" si="16"/>
        <v>2019</v>
      </c>
      <c r="Z72" s="4">
        <f t="shared" si="17"/>
        <v>39</v>
      </c>
    </row>
    <row r="73" spans="1:26" ht="25.5">
      <c r="A73" s="2">
        <f t="shared" si="18"/>
        <v>1871</v>
      </c>
      <c r="B73" s="10" t="s">
        <v>169</v>
      </c>
      <c r="C73" s="11">
        <v>43733.394444444442</v>
      </c>
      <c r="D73" s="4">
        <v>18</v>
      </c>
      <c r="E73" s="4">
        <v>12.2</v>
      </c>
      <c r="F73" s="4">
        <v>201</v>
      </c>
      <c r="G73" s="4">
        <v>67</v>
      </c>
      <c r="H73" s="4">
        <v>58</v>
      </c>
      <c r="I73" s="4">
        <v>11.093999999999999</v>
      </c>
      <c r="J73" s="4">
        <v>3</v>
      </c>
      <c r="K73" s="2" t="s">
        <v>164</v>
      </c>
      <c r="L73" s="12">
        <f t="shared" si="13"/>
        <v>1486.596</v>
      </c>
      <c r="M73" s="13">
        <f t="shared" si="14"/>
        <v>9.1539162561576362</v>
      </c>
      <c r="N73" s="13">
        <f t="shared" si="15"/>
        <v>11.545479962721343</v>
      </c>
      <c r="O73" s="12">
        <v>28.5</v>
      </c>
      <c r="P73" s="12">
        <v>12</v>
      </c>
      <c r="Q73" s="2"/>
      <c r="R73" s="2"/>
      <c r="V73" s="1"/>
      <c r="W73" s="4">
        <f>MONTH(__Anonymous_Sheet_DB__0[[#This Row],[Date / Time]])</f>
        <v>9</v>
      </c>
      <c r="X73" s="15">
        <f>__Anonymous_Sheet_DB__0[[#This Row],[Date / Time]]</f>
        <v>43733.394444444442</v>
      </c>
      <c r="Y73" s="4">
        <f t="shared" si="16"/>
        <v>2019</v>
      </c>
      <c r="Z73" s="4">
        <f t="shared" si="17"/>
        <v>39</v>
      </c>
    </row>
    <row r="74" spans="1:26" ht="38.25">
      <c r="A74" s="2">
        <f t="shared" si="18"/>
        <v>1872</v>
      </c>
      <c r="B74" s="10" t="s">
        <v>170</v>
      </c>
      <c r="C74" s="11">
        <v>43734.309027777766</v>
      </c>
      <c r="D74" s="4">
        <v>16</v>
      </c>
      <c r="E74" s="4">
        <v>12.2</v>
      </c>
      <c r="F74" s="4">
        <v>193</v>
      </c>
      <c r="G74" s="4">
        <v>63</v>
      </c>
      <c r="H74" s="4">
        <v>59</v>
      </c>
      <c r="I74" s="4">
        <v>11.093999999999999</v>
      </c>
      <c r="J74" s="4">
        <v>3</v>
      </c>
      <c r="K74" s="2" t="s">
        <v>164</v>
      </c>
      <c r="L74" s="12">
        <f t="shared" si="13"/>
        <v>1442.22</v>
      </c>
      <c r="M74" s="13">
        <f t="shared" si="14"/>
        <v>9.4016949152542377</v>
      </c>
      <c r="N74" s="13">
        <f t="shared" si="15"/>
        <v>11.010994044892351</v>
      </c>
      <c r="O74" s="12">
        <v>28.5</v>
      </c>
      <c r="P74" s="12">
        <v>12</v>
      </c>
      <c r="Q74" s="2"/>
      <c r="R74" s="2"/>
      <c r="V74" s="1"/>
      <c r="W74" s="4">
        <f>MONTH(__Anonymous_Sheet_DB__0[[#This Row],[Date / Time]])</f>
        <v>9</v>
      </c>
      <c r="X74" s="15">
        <f>__Anonymous_Sheet_DB__0[[#This Row],[Date / Time]]</f>
        <v>43734.309027777766</v>
      </c>
      <c r="Y74" s="4">
        <f t="shared" si="16"/>
        <v>2019</v>
      </c>
      <c r="Z74" s="4">
        <f t="shared" si="17"/>
        <v>39</v>
      </c>
    </row>
    <row r="75" spans="1:26" ht="38.25">
      <c r="A75" s="2">
        <f t="shared" si="18"/>
        <v>1873</v>
      </c>
      <c r="B75" s="10" t="s">
        <v>171</v>
      </c>
      <c r="C75" s="11">
        <v>43734.390277777777</v>
      </c>
      <c r="D75" s="4">
        <v>10</v>
      </c>
      <c r="E75" s="4">
        <v>6.8</v>
      </c>
      <c r="F75" s="4">
        <v>201</v>
      </c>
      <c r="G75" s="4">
        <v>80</v>
      </c>
      <c r="H75" s="4">
        <v>63</v>
      </c>
      <c r="I75" s="4">
        <v>11.093999999999999</v>
      </c>
      <c r="J75" s="4">
        <v>3</v>
      </c>
      <c r="K75" s="2" t="s">
        <v>164</v>
      </c>
      <c r="L75" s="12">
        <f t="shared" si="13"/>
        <v>1342.374</v>
      </c>
      <c r="M75" s="13">
        <f t="shared" si="14"/>
        <v>10.653761904761906</v>
      </c>
      <c r="N75" s="13">
        <f t="shared" si="15"/>
        <v>12.683049886621315</v>
      </c>
      <c r="O75" s="12">
        <v>28.4</v>
      </c>
      <c r="P75" s="12">
        <v>12</v>
      </c>
      <c r="Q75" s="2"/>
      <c r="R75" s="2"/>
      <c r="V75" s="1"/>
      <c r="W75" s="4">
        <f>MONTH(__Anonymous_Sheet_DB__0[[#This Row],[Date / Time]])</f>
        <v>9</v>
      </c>
      <c r="X75" s="15">
        <f>__Anonymous_Sheet_DB__0[[#This Row],[Date / Time]]</f>
        <v>43734.390277777777</v>
      </c>
      <c r="Y75" s="4">
        <f t="shared" si="16"/>
        <v>2019</v>
      </c>
      <c r="Z75" s="4">
        <f t="shared" si="17"/>
        <v>39</v>
      </c>
    </row>
    <row r="76" spans="1:26">
      <c r="A76" s="2">
        <f t="shared" si="18"/>
        <v>1874</v>
      </c>
      <c r="B76" s="10" t="s">
        <v>172</v>
      </c>
      <c r="C76" s="11">
        <v>43735.529166666653</v>
      </c>
      <c r="D76" s="4">
        <v>11</v>
      </c>
      <c r="E76" s="4">
        <v>7.5</v>
      </c>
      <c r="F76" s="4">
        <v>198</v>
      </c>
      <c r="G76" s="4">
        <v>81</v>
      </c>
      <c r="H76" s="4">
        <v>63</v>
      </c>
      <c r="I76" s="4">
        <v>11.093999999999999</v>
      </c>
      <c r="J76" s="4">
        <v>3</v>
      </c>
      <c r="K76" s="2" t="s">
        <v>164</v>
      </c>
      <c r="L76" s="12">
        <f t="shared" si="13"/>
        <v>1297.9979999999998</v>
      </c>
      <c r="M76" s="13">
        <f t="shared" si="14"/>
        <v>9.8110204081632624</v>
      </c>
      <c r="N76" s="13">
        <f t="shared" si="15"/>
        <v>11.773224489795917</v>
      </c>
      <c r="O76" s="12">
        <v>28.5</v>
      </c>
      <c r="P76" s="12">
        <v>12</v>
      </c>
      <c r="Q76" s="2"/>
      <c r="R76" s="2"/>
      <c r="V76" s="1"/>
      <c r="W76" s="4">
        <f>MONTH(__Anonymous_Sheet_DB__0[[#This Row],[Date / Time]])</f>
        <v>9</v>
      </c>
      <c r="X76" s="15">
        <f>__Anonymous_Sheet_DB__0[[#This Row],[Date / Time]]</f>
        <v>43735.529166666653</v>
      </c>
      <c r="Y76" s="4">
        <f t="shared" si="16"/>
        <v>2019</v>
      </c>
      <c r="Z76" s="4">
        <f t="shared" si="17"/>
        <v>39</v>
      </c>
    </row>
    <row r="77" spans="1:26">
      <c r="A77" s="2">
        <f t="shared" si="18"/>
        <v>1875</v>
      </c>
      <c r="B77" s="10" t="s">
        <v>173</v>
      </c>
      <c r="C77" s="11">
        <v>43735.62222222222</v>
      </c>
      <c r="D77" s="4">
        <v>11</v>
      </c>
      <c r="E77" s="4">
        <v>7.8</v>
      </c>
      <c r="F77" s="4">
        <v>195</v>
      </c>
      <c r="G77" s="4">
        <v>71</v>
      </c>
      <c r="H77" s="4">
        <v>67</v>
      </c>
      <c r="I77" s="4">
        <v>11.093999999999999</v>
      </c>
      <c r="J77" s="4">
        <v>3</v>
      </c>
      <c r="K77" s="2" t="s">
        <v>164</v>
      </c>
      <c r="L77" s="12">
        <f t="shared" si="13"/>
        <v>1375.6559999999999</v>
      </c>
      <c r="M77" s="13">
        <f t="shared" si="14"/>
        <v>9.777228144989337</v>
      </c>
      <c r="N77" s="13">
        <f t="shared" si="15"/>
        <v>11.534932081167197</v>
      </c>
      <c r="O77" s="12">
        <v>28.6</v>
      </c>
      <c r="P77" s="12">
        <v>12</v>
      </c>
      <c r="Q77" s="2"/>
      <c r="R77" s="2"/>
      <c r="V77" s="1"/>
      <c r="W77" s="4">
        <f>MONTH(__Anonymous_Sheet_DB__0[[#This Row],[Date / Time]])</f>
        <v>9</v>
      </c>
      <c r="X77" s="15">
        <f>__Anonymous_Sheet_DB__0[[#This Row],[Date / Time]]</f>
        <v>43735.62222222222</v>
      </c>
      <c r="Y77" s="4">
        <f t="shared" si="16"/>
        <v>2019</v>
      </c>
      <c r="Z77" s="4">
        <f t="shared" si="17"/>
        <v>39</v>
      </c>
    </row>
    <row r="78" spans="1:26" ht="25.5">
      <c r="A78" s="2">
        <f t="shared" si="18"/>
        <v>1876</v>
      </c>
      <c r="B78" s="10" t="s">
        <v>174</v>
      </c>
      <c r="C78" s="11">
        <v>43736.524305555555</v>
      </c>
      <c r="D78" s="4">
        <v>16</v>
      </c>
      <c r="E78" s="4">
        <v>11</v>
      </c>
      <c r="F78" s="4">
        <v>195</v>
      </c>
      <c r="G78" s="4">
        <v>54</v>
      </c>
      <c r="H78" s="4">
        <v>63</v>
      </c>
      <c r="I78" s="4">
        <v>11.093999999999999</v>
      </c>
      <c r="J78" s="4">
        <v>3</v>
      </c>
      <c r="K78" s="2" t="s">
        <v>164</v>
      </c>
      <c r="L78" s="12">
        <f t="shared" si="13"/>
        <v>1564.2539999999999</v>
      </c>
      <c r="M78" s="13">
        <f t="shared" si="14"/>
        <v>9.5497802197802191</v>
      </c>
      <c r="N78" s="13">
        <f t="shared" si="15"/>
        <v>11.823537414965987</v>
      </c>
      <c r="O78" s="12">
        <v>28.7</v>
      </c>
      <c r="P78" s="12">
        <v>12</v>
      </c>
      <c r="Q78" s="2"/>
      <c r="R78" s="2"/>
      <c r="V78" s="1"/>
      <c r="W78" s="4">
        <f>MONTH(__Anonymous_Sheet_DB__0[[#This Row],[Date / Time]])</f>
        <v>9</v>
      </c>
      <c r="X78" s="15">
        <f>__Anonymous_Sheet_DB__0[[#This Row],[Date / Time]]</f>
        <v>43736.524305555555</v>
      </c>
      <c r="Y78" s="4">
        <f t="shared" si="16"/>
        <v>2019</v>
      </c>
      <c r="Z78" s="4">
        <f t="shared" si="17"/>
        <v>39</v>
      </c>
    </row>
    <row r="79" spans="1:26" ht="25.5">
      <c r="A79" s="2">
        <f t="shared" si="18"/>
        <v>1877</v>
      </c>
      <c r="B79" s="10" t="s">
        <v>175</v>
      </c>
      <c r="C79" s="11">
        <v>43736.609027777777</v>
      </c>
      <c r="D79" s="4">
        <v>17</v>
      </c>
      <c r="E79" s="4">
        <v>11.9</v>
      </c>
      <c r="F79" s="4">
        <v>193</v>
      </c>
      <c r="G79" s="4">
        <v>60</v>
      </c>
      <c r="H79" s="4">
        <v>59</v>
      </c>
      <c r="I79" s="4">
        <v>11.093999999999999</v>
      </c>
      <c r="J79" s="4">
        <v>3</v>
      </c>
      <c r="K79" s="2" t="s">
        <v>164</v>
      </c>
      <c r="L79" s="12">
        <f t="shared" si="13"/>
        <v>1475.502</v>
      </c>
      <c r="M79" s="13">
        <f t="shared" si="14"/>
        <v>9.2624105461393587</v>
      </c>
      <c r="N79" s="13">
        <f t="shared" si="15"/>
        <v>11.419410262363593</v>
      </c>
      <c r="O79" s="12">
        <v>27.5</v>
      </c>
      <c r="P79" s="12">
        <v>12</v>
      </c>
      <c r="Q79" s="2"/>
      <c r="R79" s="2"/>
      <c r="V79" s="1"/>
      <c r="W79" s="4">
        <f>MONTH(__Anonymous_Sheet_DB__0[[#This Row],[Date / Time]])</f>
        <v>9</v>
      </c>
      <c r="X79" s="15">
        <f>__Anonymous_Sheet_DB__0[[#This Row],[Date / Time]]</f>
        <v>43736.609027777777</v>
      </c>
      <c r="Y79" s="4">
        <f t="shared" si="16"/>
        <v>2019</v>
      </c>
      <c r="Z79" s="4">
        <f t="shared" si="17"/>
        <v>39</v>
      </c>
    </row>
    <row r="80" spans="1:26" ht="25.5">
      <c r="A80" s="2">
        <f t="shared" si="18"/>
        <v>1878</v>
      </c>
      <c r="B80" s="10" t="s">
        <v>167</v>
      </c>
      <c r="C80" s="11">
        <v>43737.308333333327</v>
      </c>
      <c r="D80" s="4">
        <v>21</v>
      </c>
      <c r="E80" s="4">
        <v>12.3</v>
      </c>
      <c r="F80" s="4">
        <v>194</v>
      </c>
      <c r="G80" s="4">
        <v>61</v>
      </c>
      <c r="H80" s="4">
        <v>57</v>
      </c>
      <c r="I80" s="4">
        <v>11.093999999999999</v>
      </c>
      <c r="J80" s="4">
        <v>3</v>
      </c>
      <c r="K80" s="2" t="s">
        <v>164</v>
      </c>
      <c r="L80" s="12">
        <f t="shared" si="13"/>
        <v>1475.502</v>
      </c>
      <c r="M80" s="13">
        <f t="shared" si="14"/>
        <v>8.3503225806451606</v>
      </c>
      <c r="N80" s="13">
        <f t="shared" si="15"/>
        <v>11.608071748878924</v>
      </c>
      <c r="O80" s="12">
        <v>28.5</v>
      </c>
      <c r="P80" s="12">
        <v>12</v>
      </c>
      <c r="Q80" s="2"/>
      <c r="R80" s="2"/>
      <c r="V80" s="1"/>
      <c r="W80" s="4">
        <f>MONTH(__Anonymous_Sheet_DB__0[[#This Row],[Date / Time]])</f>
        <v>9</v>
      </c>
      <c r="X80" s="15">
        <f>__Anonymous_Sheet_DB__0[[#This Row],[Date / Time]]</f>
        <v>43737.308333333327</v>
      </c>
      <c r="Y80" s="4">
        <f t="shared" si="16"/>
        <v>2019</v>
      </c>
      <c r="Z80" s="4">
        <f t="shared" si="17"/>
        <v>40</v>
      </c>
    </row>
    <row r="81" spans="1:26" ht="25.5">
      <c r="A81" s="2">
        <f t="shared" si="18"/>
        <v>1879</v>
      </c>
      <c r="B81" s="10" t="s">
        <v>176</v>
      </c>
      <c r="C81" s="11">
        <v>43737.393055555556</v>
      </c>
      <c r="D81" s="4">
        <v>11</v>
      </c>
      <c r="E81" s="4">
        <v>8.1999999999999993</v>
      </c>
      <c r="F81" s="4">
        <v>197</v>
      </c>
      <c r="G81" s="4">
        <v>86</v>
      </c>
      <c r="H81" s="4">
        <v>59</v>
      </c>
      <c r="I81" s="4">
        <v>11.093999999999999</v>
      </c>
      <c r="J81" s="4">
        <v>3</v>
      </c>
      <c r="K81" s="2" t="s">
        <v>164</v>
      </c>
      <c r="L81" s="12">
        <f t="shared" si="13"/>
        <v>1231.434</v>
      </c>
      <c r="M81" s="13">
        <f t="shared" si="14"/>
        <v>9.9389346246973354</v>
      </c>
      <c r="N81" s="13">
        <f t="shared" si="15"/>
        <v>11.468001490035389</v>
      </c>
      <c r="O81" s="12">
        <v>28.6</v>
      </c>
      <c r="P81" s="12">
        <v>12</v>
      </c>
      <c r="Q81" s="2"/>
      <c r="R81" s="2"/>
      <c r="V81" s="1"/>
      <c r="W81" s="4">
        <f>MONTH(__Anonymous_Sheet_DB__0[[#This Row],[Date / Time]])</f>
        <v>9</v>
      </c>
      <c r="X81" s="15">
        <f>__Anonymous_Sheet_DB__0[[#This Row],[Date / Time]]</f>
        <v>43737.393055555556</v>
      </c>
      <c r="Y81" s="4">
        <f t="shared" si="16"/>
        <v>2019</v>
      </c>
      <c r="Z81" s="4">
        <f t="shared" si="17"/>
        <v>40</v>
      </c>
    </row>
    <row r="82" spans="1:26" ht="38.25">
      <c r="A82" s="2">
        <f t="shared" si="18"/>
        <v>1880</v>
      </c>
      <c r="B82" s="10" t="s">
        <v>177</v>
      </c>
      <c r="C82" s="11">
        <v>43738.310416666653</v>
      </c>
      <c r="D82" s="4">
        <v>29</v>
      </c>
      <c r="E82" s="4">
        <v>18.600000000000001</v>
      </c>
      <c r="F82" s="4">
        <v>197</v>
      </c>
      <c r="G82" s="4">
        <v>89</v>
      </c>
      <c r="H82" s="4">
        <v>36</v>
      </c>
      <c r="I82" s="4">
        <v>11.093999999999999</v>
      </c>
      <c r="J82" s="4">
        <v>3</v>
      </c>
      <c r="K82" s="2" t="s">
        <v>164</v>
      </c>
      <c r="L82" s="12">
        <f t="shared" si="13"/>
        <v>1198.152</v>
      </c>
      <c r="M82" s="13">
        <f t="shared" si="14"/>
        <v>8.5338461538461541</v>
      </c>
      <c r="N82" s="13">
        <f t="shared" si="15"/>
        <v>11.637062937062936</v>
      </c>
      <c r="O82" s="12">
        <v>28.5</v>
      </c>
      <c r="P82" s="12">
        <v>12</v>
      </c>
      <c r="Q82" s="2"/>
      <c r="R82" s="2"/>
      <c r="V82" s="1"/>
      <c r="W82" s="4">
        <f>MONTH(__Anonymous_Sheet_DB__0[[#This Row],[Date / Time]])</f>
        <v>9</v>
      </c>
      <c r="X82" s="15">
        <f>__Anonymous_Sheet_DB__0[[#This Row],[Date / Time]]</f>
        <v>43738.310416666653</v>
      </c>
      <c r="Y82" s="4">
        <f t="shared" si="16"/>
        <v>2019</v>
      </c>
      <c r="Z82" s="4">
        <f t="shared" si="17"/>
        <v>40</v>
      </c>
    </row>
    <row r="83" spans="1:26" ht="38.25">
      <c r="A83" s="2">
        <f t="shared" si="18"/>
        <v>1881</v>
      </c>
      <c r="B83" s="10" t="s">
        <v>165</v>
      </c>
      <c r="C83" s="11">
        <v>43738.377083333326</v>
      </c>
      <c r="D83" s="4">
        <v>17</v>
      </c>
      <c r="E83" s="4">
        <v>11.3</v>
      </c>
      <c r="F83" s="4">
        <v>197</v>
      </c>
      <c r="G83" s="4">
        <v>70</v>
      </c>
      <c r="H83" s="4">
        <v>59</v>
      </c>
      <c r="I83" s="4">
        <v>11.093999999999999</v>
      </c>
      <c r="J83" s="4">
        <v>3</v>
      </c>
      <c r="K83" s="2" t="s">
        <v>164</v>
      </c>
      <c r="L83" s="12">
        <f t="shared" si="13"/>
        <v>1408.9379999999999</v>
      </c>
      <c r="M83" s="13">
        <f t="shared" si="14"/>
        <v>8.844557438794725</v>
      </c>
      <c r="N83" s="13">
        <f t="shared" si="15"/>
        <v>11.211410837908808</v>
      </c>
      <c r="O83" s="12">
        <v>28.7</v>
      </c>
      <c r="P83" s="12">
        <v>12</v>
      </c>
      <c r="Q83" s="2"/>
      <c r="R83" s="2"/>
      <c r="V83" s="1"/>
      <c r="W83" s="4">
        <f>MONTH(__Anonymous_Sheet_DB__0[[#This Row],[Date / Time]])</f>
        <v>9</v>
      </c>
      <c r="X83" s="15">
        <f>__Anonymous_Sheet_DB__0[[#This Row],[Date / Time]]</f>
        <v>43738.377083333326</v>
      </c>
      <c r="Y83" s="4">
        <f t="shared" si="16"/>
        <v>2019</v>
      </c>
      <c r="Z83" s="4">
        <f t="shared" si="17"/>
        <v>40</v>
      </c>
    </row>
    <row r="84" spans="1:26" ht="25.5">
      <c r="A84" s="2">
        <f t="shared" si="18"/>
        <v>1882</v>
      </c>
      <c r="B84" s="10" t="s">
        <v>178</v>
      </c>
      <c r="C84" s="11">
        <v>43738.522222222222</v>
      </c>
      <c r="D84" s="4">
        <v>13</v>
      </c>
      <c r="E84" s="4">
        <v>8.0999999999999979</v>
      </c>
      <c r="F84" s="4">
        <v>200</v>
      </c>
      <c r="G84" s="4">
        <v>94</v>
      </c>
      <c r="H84" s="4">
        <v>55</v>
      </c>
      <c r="I84" s="4">
        <v>11.093999999999999</v>
      </c>
      <c r="J84" s="4">
        <v>3</v>
      </c>
      <c r="K84" s="2" t="s">
        <v>164</v>
      </c>
      <c r="L84" s="12">
        <f t="shared" si="13"/>
        <v>1175.9639999999999</v>
      </c>
      <c r="M84" s="13">
        <f t="shared" si="14"/>
        <v>9.2961581027667979</v>
      </c>
      <c r="N84" s="13">
        <f t="shared" si="15"/>
        <v>11.812797589151181</v>
      </c>
      <c r="O84" s="12">
        <v>28.8</v>
      </c>
      <c r="P84" s="12">
        <v>12</v>
      </c>
      <c r="Q84" s="2"/>
      <c r="R84" s="2"/>
      <c r="V84" s="1"/>
      <c r="W84" s="4">
        <f>MONTH(__Anonymous_Sheet_DB__0[[#This Row],[Date / Time]])</f>
        <v>9</v>
      </c>
      <c r="X84" s="15">
        <f>__Anonymous_Sheet_DB__0[[#This Row],[Date / Time]]</f>
        <v>43738.522222222222</v>
      </c>
      <c r="Y84" s="4">
        <f t="shared" si="16"/>
        <v>2019</v>
      </c>
      <c r="Z84" s="4">
        <f t="shared" si="17"/>
        <v>40</v>
      </c>
    </row>
    <row r="85" spans="1:26" ht="25.5">
      <c r="A85" s="2">
        <f t="shared" si="18"/>
        <v>1883</v>
      </c>
      <c r="B85" s="10" t="s">
        <v>179</v>
      </c>
      <c r="C85" s="11">
        <v>43738.604166666657</v>
      </c>
      <c r="D85" s="4">
        <v>12</v>
      </c>
      <c r="E85" s="4">
        <v>8.0999999999999979</v>
      </c>
      <c r="F85" s="4">
        <v>202</v>
      </c>
      <c r="G85" s="4">
        <v>96</v>
      </c>
      <c r="H85" s="4">
        <v>56</v>
      </c>
      <c r="I85" s="4">
        <v>11.093999999999999</v>
      </c>
      <c r="J85" s="4">
        <v>3</v>
      </c>
      <c r="K85" s="2" t="s">
        <v>164</v>
      </c>
      <c r="L85" s="12">
        <f t="shared" si="13"/>
        <v>1175.9639999999999</v>
      </c>
      <c r="M85" s="13">
        <f t="shared" si="14"/>
        <v>9.5451623376623367</v>
      </c>
      <c r="N85" s="13">
        <f t="shared" si="15"/>
        <v>11.601854775059195</v>
      </c>
      <c r="O85" s="12">
        <v>28.8</v>
      </c>
      <c r="P85" s="12">
        <v>12</v>
      </c>
      <c r="Q85" s="2"/>
      <c r="R85" s="2"/>
      <c r="V85" s="1"/>
      <c r="W85" s="4">
        <f>MONTH(__Anonymous_Sheet_DB__0[[#This Row],[Date / Time]])</f>
        <v>9</v>
      </c>
      <c r="X85" s="15">
        <f>__Anonymous_Sheet_DB__0[[#This Row],[Date / Time]]</f>
        <v>43738.604166666657</v>
      </c>
      <c r="Y85" s="4">
        <f t="shared" si="16"/>
        <v>2019</v>
      </c>
      <c r="Z85" s="4">
        <f t="shared" si="17"/>
        <v>40</v>
      </c>
    </row>
    <row r="86" spans="1:26" ht="38.25">
      <c r="A86" s="2">
        <f t="shared" si="18"/>
        <v>1884</v>
      </c>
      <c r="B86" s="10" t="s">
        <v>168</v>
      </c>
      <c r="C86" s="11">
        <v>43739.522222222222</v>
      </c>
      <c r="D86" s="4">
        <v>16</v>
      </c>
      <c r="E86" s="4">
        <v>10.9</v>
      </c>
      <c r="F86" s="4">
        <v>199</v>
      </c>
      <c r="G86" s="4">
        <v>81</v>
      </c>
      <c r="H86" s="4">
        <v>49</v>
      </c>
      <c r="I86" s="4">
        <v>11.093999999999999</v>
      </c>
      <c r="J86" s="4">
        <v>3</v>
      </c>
      <c r="K86" s="2" t="s">
        <v>180</v>
      </c>
      <c r="L86" s="12">
        <f t="shared" si="13"/>
        <v>1309.0919999999999</v>
      </c>
      <c r="M86" s="13">
        <f t="shared" si="14"/>
        <v>10.275447409733122</v>
      </c>
      <c r="N86" s="13">
        <f t="shared" si="15"/>
        <v>12.782853236988574</v>
      </c>
      <c r="O86" s="12">
        <v>28.8</v>
      </c>
      <c r="P86" s="12">
        <v>12</v>
      </c>
      <c r="Q86" s="2"/>
      <c r="R86" s="2" t="s">
        <v>181</v>
      </c>
      <c r="S86" s="4">
        <v>90</v>
      </c>
      <c r="V86" s="1"/>
      <c r="W86" s="4">
        <f>MONTH(__Anonymous_Sheet_DB__0[[#This Row],[Date / Time]])</f>
        <v>10</v>
      </c>
      <c r="X86" s="15">
        <f>__Anonymous_Sheet_DB__0[[#This Row],[Date / Time]]</f>
        <v>43739.522222222222</v>
      </c>
      <c r="Y86" s="4">
        <f t="shared" si="16"/>
        <v>2019</v>
      </c>
      <c r="Z86" s="4">
        <f t="shared" si="17"/>
        <v>40</v>
      </c>
    </row>
    <row r="87" spans="1:26" ht="25.5">
      <c r="A87" s="2">
        <f t="shared" si="18"/>
        <v>1885</v>
      </c>
      <c r="B87" s="10" t="s">
        <v>167</v>
      </c>
      <c r="C87" s="11">
        <v>43739.621527777766</v>
      </c>
      <c r="D87" s="4">
        <v>14</v>
      </c>
      <c r="E87" s="4">
        <v>9.6999999999999993</v>
      </c>
      <c r="F87" s="4">
        <v>195</v>
      </c>
      <c r="G87" s="4">
        <v>69</v>
      </c>
      <c r="H87" s="4">
        <v>59</v>
      </c>
      <c r="I87" s="4">
        <v>11.093999999999999</v>
      </c>
      <c r="J87" s="4">
        <v>3</v>
      </c>
      <c r="K87" s="2" t="s">
        <v>164</v>
      </c>
      <c r="L87" s="12">
        <f t="shared" si="13"/>
        <v>1397.8439999999998</v>
      </c>
      <c r="M87" s="13">
        <f t="shared" si="14"/>
        <v>9.8717796610169479</v>
      </c>
      <c r="N87" s="13">
        <f t="shared" si="15"/>
        <v>12.026533597178009</v>
      </c>
      <c r="O87" s="12">
        <v>29</v>
      </c>
      <c r="P87" s="12">
        <v>12</v>
      </c>
      <c r="Q87" s="2"/>
      <c r="R87" s="2"/>
      <c r="V87" s="1"/>
      <c r="W87" s="4">
        <f>MONTH(__Anonymous_Sheet_DB__0[[#This Row],[Date / Time]])</f>
        <v>10</v>
      </c>
      <c r="X87" s="15">
        <f>__Anonymous_Sheet_DB__0[[#This Row],[Date / Time]]</f>
        <v>43739.621527777766</v>
      </c>
      <c r="Y87" s="4">
        <f t="shared" si="16"/>
        <v>2019</v>
      </c>
      <c r="Z87" s="4">
        <f t="shared" si="17"/>
        <v>40</v>
      </c>
    </row>
    <row r="88" spans="1:26" ht="38.25">
      <c r="A88" s="2">
        <f t="shared" si="18"/>
        <v>1886</v>
      </c>
      <c r="B88" s="10" t="s">
        <v>148</v>
      </c>
      <c r="C88" s="11">
        <v>43750.489583333336</v>
      </c>
      <c r="D88" s="4">
        <v>2</v>
      </c>
      <c r="E88" s="4">
        <v>1</v>
      </c>
      <c r="F88" s="4">
        <v>200</v>
      </c>
      <c r="G88" s="4">
        <v>198</v>
      </c>
      <c r="H88" s="4">
        <v>1</v>
      </c>
      <c r="I88" s="4">
        <v>10.1</v>
      </c>
      <c r="J88" s="4"/>
      <c r="K88" s="2" t="s">
        <v>182</v>
      </c>
      <c r="L88" s="12">
        <f t="shared" si="13"/>
        <v>20.2</v>
      </c>
      <c r="M88" s="13">
        <f t="shared" si="14"/>
        <v>16.833333333333332</v>
      </c>
      <c r="N88" s="13">
        <f t="shared" si="15"/>
        <v>18.36363636363636</v>
      </c>
      <c r="O88" s="12">
        <v>11</v>
      </c>
      <c r="P88" s="12">
        <v>0</v>
      </c>
      <c r="Q88" s="2"/>
      <c r="R88" s="2" t="s">
        <v>183</v>
      </c>
      <c r="S88" s="4">
        <v>20</v>
      </c>
      <c r="V88" s="1"/>
      <c r="W88" s="4">
        <f>MONTH(__Anonymous_Sheet_DB__0[[#This Row],[Date / Time]])</f>
        <v>10</v>
      </c>
      <c r="X88" s="15">
        <f>__Anonymous_Sheet_DB__0[[#This Row],[Date / Time]]</f>
        <v>43750.489583333336</v>
      </c>
      <c r="Y88" s="4">
        <f t="shared" si="16"/>
        <v>2019</v>
      </c>
      <c r="Z88" s="4">
        <f t="shared" si="17"/>
        <v>41</v>
      </c>
    </row>
    <row r="89" spans="1:26" ht="25.5">
      <c r="A89" s="2">
        <f t="shared" si="18"/>
        <v>1887</v>
      </c>
      <c r="B89" s="10" t="s">
        <v>153</v>
      </c>
      <c r="C89" s="11">
        <v>43777.450694444444</v>
      </c>
      <c r="D89" s="4">
        <v>17</v>
      </c>
      <c r="E89" s="4">
        <v>11.2</v>
      </c>
      <c r="F89" s="4">
        <v>275</v>
      </c>
      <c r="G89" s="4">
        <v>132</v>
      </c>
      <c r="H89" s="4">
        <v>50</v>
      </c>
      <c r="I89" s="4">
        <v>12</v>
      </c>
      <c r="J89" s="4">
        <v>3</v>
      </c>
      <c r="K89" s="2" t="s">
        <v>184</v>
      </c>
      <c r="L89" s="12">
        <f t="shared" si="13"/>
        <v>1716</v>
      </c>
      <c r="M89" s="13">
        <f t="shared" si="14"/>
        <v>12.71111111111111</v>
      </c>
      <c r="N89" s="13">
        <f t="shared" si="15"/>
        <v>16.188679245283016</v>
      </c>
      <c r="O89" s="12">
        <v>12</v>
      </c>
      <c r="P89" s="12">
        <v>7</v>
      </c>
      <c r="Q89" s="2"/>
      <c r="R89" s="2"/>
      <c r="V89" s="1"/>
      <c r="W89" s="4">
        <f>MONTH(__Anonymous_Sheet_DB__0[[#This Row],[Date / Time]])</f>
        <v>11</v>
      </c>
      <c r="X89" s="15">
        <f>__Anonymous_Sheet_DB__0[[#This Row],[Date / Time]]</f>
        <v>43777.450694444444</v>
      </c>
      <c r="Y89" s="4">
        <f t="shared" si="16"/>
        <v>2019</v>
      </c>
      <c r="Z89" s="4">
        <f t="shared" si="17"/>
        <v>45</v>
      </c>
    </row>
    <row r="90" spans="1:26" ht="25.5">
      <c r="A90" s="2">
        <f t="shared" si="18"/>
        <v>1888</v>
      </c>
      <c r="B90" s="10" t="s">
        <v>153</v>
      </c>
      <c r="C90" s="11">
        <v>43777.525694444441</v>
      </c>
      <c r="D90" s="4">
        <v>19</v>
      </c>
      <c r="E90" s="4">
        <v>10.5</v>
      </c>
      <c r="F90" s="4">
        <v>122</v>
      </c>
      <c r="G90" s="4">
        <v>48</v>
      </c>
      <c r="H90" s="4">
        <v>36</v>
      </c>
      <c r="I90" s="4">
        <v>12</v>
      </c>
      <c r="J90" s="4">
        <v>3</v>
      </c>
      <c r="K90" s="2" t="s">
        <v>184</v>
      </c>
      <c r="L90" s="12">
        <f t="shared" si="13"/>
        <v>888</v>
      </c>
      <c r="M90" s="13">
        <f t="shared" si="14"/>
        <v>8.5057471264367823</v>
      </c>
      <c r="N90" s="13">
        <f t="shared" si="15"/>
        <v>12.032520325203253</v>
      </c>
      <c r="O90" s="12">
        <v>13</v>
      </c>
      <c r="P90" s="12">
        <v>7</v>
      </c>
      <c r="Q90" s="2"/>
      <c r="R90" s="2"/>
      <c r="V90" s="1"/>
      <c r="W90" s="4">
        <f>MONTH(__Anonymous_Sheet_DB__0[[#This Row],[Date / Time]])</f>
        <v>11</v>
      </c>
      <c r="X90" s="15">
        <f>__Anonymous_Sheet_DB__0[[#This Row],[Date / Time]]</f>
        <v>43777.525694444441</v>
      </c>
      <c r="Y90" s="4">
        <f t="shared" si="16"/>
        <v>2019</v>
      </c>
      <c r="Z90" s="4">
        <f t="shared" si="17"/>
        <v>45</v>
      </c>
    </row>
    <row r="91" spans="1:26" ht="38.25">
      <c r="A91" s="2">
        <f t="shared" si="18"/>
        <v>1889</v>
      </c>
      <c r="B91" s="10" t="s">
        <v>148</v>
      </c>
      <c r="C91" s="11">
        <v>43778.524305555555</v>
      </c>
      <c r="D91" s="4">
        <v>13</v>
      </c>
      <c r="E91" s="4">
        <v>8.5</v>
      </c>
      <c r="F91" s="4">
        <v>257</v>
      </c>
      <c r="G91" s="4">
        <v>135</v>
      </c>
      <c r="H91" s="4">
        <v>35</v>
      </c>
      <c r="I91" s="4">
        <v>12</v>
      </c>
      <c r="J91" s="4">
        <v>3</v>
      </c>
      <c r="K91" s="2" t="s">
        <v>185</v>
      </c>
      <c r="L91" s="12">
        <f t="shared" si="13"/>
        <v>1464</v>
      </c>
      <c r="M91" s="13">
        <f t="shared" si="14"/>
        <v>18.186335403726709</v>
      </c>
      <c r="N91" s="13">
        <f t="shared" si="15"/>
        <v>22.610038610038611</v>
      </c>
      <c r="O91" s="12">
        <v>11</v>
      </c>
      <c r="P91" s="12">
        <v>6</v>
      </c>
      <c r="Q91" s="2"/>
      <c r="R91" s="2" t="s">
        <v>181</v>
      </c>
      <c r="S91" s="4">
        <v>120</v>
      </c>
      <c r="V91" s="1"/>
      <c r="W91" s="4">
        <f>MONTH(__Anonymous_Sheet_DB__0[[#This Row],[Date / Time]])</f>
        <v>11</v>
      </c>
      <c r="X91" s="15">
        <f>__Anonymous_Sheet_DB__0[[#This Row],[Date / Time]]</f>
        <v>43778.524305555555</v>
      </c>
      <c r="Y91" s="4">
        <f t="shared" si="16"/>
        <v>2019</v>
      </c>
      <c r="Z91" s="4">
        <f t="shared" si="17"/>
        <v>45</v>
      </c>
    </row>
    <row r="92" spans="1:26" ht="38.25">
      <c r="A92" s="2">
        <f t="shared" si="18"/>
        <v>1890</v>
      </c>
      <c r="B92" s="10" t="s">
        <v>148</v>
      </c>
      <c r="C92" s="11">
        <v>43778.634722222218</v>
      </c>
      <c r="D92" s="4">
        <v>12</v>
      </c>
      <c r="E92" s="4">
        <v>7.2</v>
      </c>
      <c r="F92" s="4">
        <v>271</v>
      </c>
      <c r="G92" s="4">
        <v>152</v>
      </c>
      <c r="H92" s="4">
        <v>40</v>
      </c>
      <c r="I92" s="4">
        <v>12</v>
      </c>
      <c r="J92" s="4">
        <v>3</v>
      </c>
      <c r="K92" s="2" t="s">
        <v>185</v>
      </c>
      <c r="L92" s="12">
        <f t="shared" si="13"/>
        <v>1428</v>
      </c>
      <c r="M92" s="13">
        <f t="shared" si="14"/>
        <v>16.227272727272727</v>
      </c>
      <c r="N92" s="13">
        <f t="shared" si="15"/>
        <v>20.755813953488374</v>
      </c>
      <c r="O92" s="12">
        <v>11</v>
      </c>
      <c r="P92" s="12">
        <v>6</v>
      </c>
      <c r="Q92" s="2" t="s">
        <v>186</v>
      </c>
      <c r="R92" s="2" t="s">
        <v>187</v>
      </c>
      <c r="S92" s="4">
        <v>60</v>
      </c>
      <c r="V92" s="1"/>
      <c r="W92" s="4">
        <f>MONTH(__Anonymous_Sheet_DB__0[[#This Row],[Date / Time]])</f>
        <v>11</v>
      </c>
      <c r="X92" s="15">
        <f>__Anonymous_Sheet_DB__0[[#This Row],[Date / Time]]</f>
        <v>43778.634722222218</v>
      </c>
      <c r="Y92" s="4">
        <f t="shared" si="16"/>
        <v>2019</v>
      </c>
      <c r="Z92" s="4">
        <f t="shared" si="17"/>
        <v>45</v>
      </c>
    </row>
    <row r="93" spans="1:26" ht="25.5">
      <c r="A93" s="2">
        <f t="shared" si="18"/>
        <v>1891</v>
      </c>
      <c r="B93" s="10" t="s">
        <v>153</v>
      </c>
      <c r="C93" s="11">
        <v>43806.444444444445</v>
      </c>
      <c r="D93" s="4">
        <v>19</v>
      </c>
      <c r="E93" s="4">
        <v>12.6</v>
      </c>
      <c r="F93" s="4">
        <v>272</v>
      </c>
      <c r="G93" s="4">
        <v>144</v>
      </c>
      <c r="H93" s="4">
        <v>39</v>
      </c>
      <c r="I93" s="4">
        <v>12</v>
      </c>
      <c r="J93" s="4">
        <v>3</v>
      </c>
      <c r="K93" s="2" t="s">
        <v>184</v>
      </c>
      <c r="L93" s="12">
        <f t="shared" si="13"/>
        <v>1536</v>
      </c>
      <c r="M93" s="13">
        <f t="shared" si="14"/>
        <v>13.580901856763926</v>
      </c>
      <c r="N93" s="13">
        <f t="shared" si="15"/>
        <v>17.426820966643977</v>
      </c>
      <c r="O93" s="12">
        <v>10.4</v>
      </c>
      <c r="P93" s="12">
        <v>5</v>
      </c>
      <c r="Q93" s="2"/>
      <c r="R93" s="2"/>
      <c r="V93" s="1"/>
      <c r="W93" s="4">
        <f>MONTH(__Anonymous_Sheet_DB__0[[#This Row],[Date / Time]])</f>
        <v>12</v>
      </c>
      <c r="X93" s="15">
        <f>__Anonymous_Sheet_DB__0[[#This Row],[Date / Time]]</f>
        <v>43806.444444444445</v>
      </c>
      <c r="Y93" s="4">
        <f t="shared" si="16"/>
        <v>2019</v>
      </c>
      <c r="Z93" s="4">
        <f t="shared" si="17"/>
        <v>49</v>
      </c>
    </row>
    <row r="94" spans="1:26" ht="25.5">
      <c r="A94" s="2">
        <f t="shared" si="18"/>
        <v>1892</v>
      </c>
      <c r="B94" s="10" t="s">
        <v>153</v>
      </c>
      <c r="C94" s="11">
        <v>43806.506944444445</v>
      </c>
      <c r="D94" s="4">
        <v>12</v>
      </c>
      <c r="E94" s="4">
        <v>7.8</v>
      </c>
      <c r="F94" s="4">
        <v>135</v>
      </c>
      <c r="G94" s="4">
        <v>67</v>
      </c>
      <c r="H94" s="4">
        <v>31</v>
      </c>
      <c r="I94" s="4">
        <v>12</v>
      </c>
      <c r="J94" s="4">
        <v>3</v>
      </c>
      <c r="K94" s="2" t="s">
        <v>184</v>
      </c>
      <c r="L94" s="12">
        <f t="shared" si="13"/>
        <v>816</v>
      </c>
      <c r="M94" s="13">
        <f t="shared" ref="M94:M125" si="19">L94/H94/((D94/10)+1)</f>
        <v>11.964809384164223</v>
      </c>
      <c r="N94" s="13">
        <f t="shared" si="15"/>
        <v>14.787966654584993</v>
      </c>
      <c r="O94" s="12">
        <v>10</v>
      </c>
      <c r="P94" s="12">
        <v>5</v>
      </c>
      <c r="Q94" s="2"/>
      <c r="R94" s="2"/>
      <c r="V94" s="1"/>
      <c r="W94" s="4">
        <f>MONTH(__Anonymous_Sheet_DB__0[[#This Row],[Date / Time]])</f>
        <v>12</v>
      </c>
      <c r="X94" s="15">
        <f>__Anonymous_Sheet_DB__0[[#This Row],[Date / Time]]</f>
        <v>43806.506944444445</v>
      </c>
      <c r="Y94" s="4">
        <f t="shared" si="16"/>
        <v>2019</v>
      </c>
      <c r="Z94" s="4">
        <f t="shared" si="17"/>
        <v>49</v>
      </c>
    </row>
    <row r="95" spans="1:26" ht="25.5">
      <c r="A95" s="2">
        <f t="shared" si="18"/>
        <v>1893</v>
      </c>
      <c r="B95" s="10" t="s">
        <v>116</v>
      </c>
      <c r="C95" s="11">
        <v>43821.416666666657</v>
      </c>
      <c r="D95" s="4"/>
      <c r="E95" s="4"/>
      <c r="F95" s="4"/>
      <c r="G95" s="4"/>
      <c r="H95" s="4"/>
      <c r="I95" s="4"/>
      <c r="J95" s="4"/>
      <c r="K95" s="2" t="s">
        <v>161</v>
      </c>
      <c r="L95" s="12"/>
      <c r="M95" s="13"/>
      <c r="N95" s="13"/>
      <c r="O95" s="12"/>
      <c r="P95" s="12"/>
      <c r="Q95" s="2"/>
      <c r="R95" s="2" t="s">
        <v>188</v>
      </c>
      <c r="V95" s="1"/>
      <c r="W95" s="4">
        <f>MONTH(__Anonymous_Sheet_DB__0[[#This Row],[Date / Time]])</f>
        <v>12</v>
      </c>
      <c r="X95" s="15">
        <f>__Anonymous_Sheet_DB__0[[#This Row],[Date / Time]]</f>
        <v>43821.416666666657</v>
      </c>
      <c r="Y95" s="4">
        <f t="shared" si="16"/>
        <v>2019</v>
      </c>
      <c r="Z95" s="4">
        <f t="shared" si="17"/>
        <v>52</v>
      </c>
    </row>
    <row r="96" spans="1:26" ht="25.5">
      <c r="A96" s="2">
        <f t="shared" si="18"/>
        <v>1894</v>
      </c>
      <c r="B96" s="10" t="s">
        <v>116</v>
      </c>
      <c r="C96" s="11">
        <v>43823.451388888891</v>
      </c>
      <c r="D96" s="4">
        <v>2</v>
      </c>
      <c r="E96" s="4">
        <v>1</v>
      </c>
      <c r="F96" s="4">
        <v>214</v>
      </c>
      <c r="G96" s="4">
        <v>212</v>
      </c>
      <c r="H96" s="4">
        <v>2</v>
      </c>
      <c r="I96" s="4">
        <v>12.2</v>
      </c>
      <c r="J96" s="4"/>
      <c r="K96" s="2" t="s">
        <v>189</v>
      </c>
      <c r="L96" s="12">
        <f t="shared" ref="L96:L102" si="20">(F96-G96)*I96</f>
        <v>24.4</v>
      </c>
      <c r="M96" s="13">
        <f t="shared" ref="M96:M102" si="21">L96/H96/((D96/10)+1)</f>
        <v>10.166666666666666</v>
      </c>
      <c r="N96" s="13">
        <f t="shared" ref="N96:N102" si="22">L96/((E96/10)+1)/H96</f>
        <v>11.09090909090909</v>
      </c>
      <c r="O96" s="12">
        <v>7</v>
      </c>
      <c r="P96" s="12">
        <v>4</v>
      </c>
      <c r="Q96" s="2"/>
      <c r="R96" s="2" t="s">
        <v>190</v>
      </c>
      <c r="V96" s="1"/>
      <c r="W96" s="4">
        <f>MONTH(__Anonymous_Sheet_DB__0[[#This Row],[Date / Time]])</f>
        <v>12</v>
      </c>
      <c r="X96" s="15">
        <f>__Anonymous_Sheet_DB__0[[#This Row],[Date / Time]]</f>
        <v>43823.451388888891</v>
      </c>
      <c r="Y96" s="4">
        <f t="shared" si="16"/>
        <v>2019</v>
      </c>
      <c r="Z96" s="4">
        <f t="shared" si="17"/>
        <v>52</v>
      </c>
    </row>
    <row r="97" spans="1:26" ht="25.5">
      <c r="A97" s="2">
        <f t="shared" si="18"/>
        <v>1895</v>
      </c>
      <c r="B97" s="10" t="s">
        <v>153</v>
      </c>
      <c r="C97" s="11">
        <v>43826.443749999999</v>
      </c>
      <c r="D97" s="4">
        <v>20</v>
      </c>
      <c r="E97" s="4">
        <v>12.6</v>
      </c>
      <c r="F97" s="4">
        <v>224</v>
      </c>
      <c r="G97" s="4">
        <v>127</v>
      </c>
      <c r="H97" s="4">
        <v>35</v>
      </c>
      <c r="I97" s="4">
        <v>12.2</v>
      </c>
      <c r="J97" s="4">
        <v>3</v>
      </c>
      <c r="K97" s="2" t="s">
        <v>184</v>
      </c>
      <c r="L97" s="12">
        <f t="shared" si="20"/>
        <v>1183.3999999999999</v>
      </c>
      <c r="M97" s="13">
        <f t="shared" si="21"/>
        <v>11.270476190476188</v>
      </c>
      <c r="N97" s="13">
        <f t="shared" si="22"/>
        <v>14.960809102402024</v>
      </c>
      <c r="O97" s="12">
        <v>8.9</v>
      </c>
      <c r="P97" s="12">
        <v>7</v>
      </c>
      <c r="Q97" s="2" t="s">
        <v>191</v>
      </c>
      <c r="R97" s="2"/>
      <c r="V97" s="1"/>
      <c r="W97" s="4">
        <f>MONTH(__Anonymous_Sheet_DB__0[[#This Row],[Date / Time]])</f>
        <v>12</v>
      </c>
      <c r="X97" s="15">
        <f>__Anonymous_Sheet_DB__0[[#This Row],[Date / Time]]</f>
        <v>43826.443749999999</v>
      </c>
      <c r="Y97" s="4">
        <f t="shared" si="16"/>
        <v>2019</v>
      </c>
      <c r="Z97" s="4">
        <f t="shared" si="17"/>
        <v>52</v>
      </c>
    </row>
    <row r="98" spans="1:26" ht="25.5">
      <c r="A98" s="2">
        <f t="shared" si="18"/>
        <v>1896</v>
      </c>
      <c r="B98" s="10" t="s">
        <v>153</v>
      </c>
      <c r="C98" s="11">
        <v>43826.505555555559</v>
      </c>
      <c r="D98" s="4">
        <v>13</v>
      </c>
      <c r="E98" s="4">
        <v>6.8</v>
      </c>
      <c r="F98" s="4">
        <v>122</v>
      </c>
      <c r="G98" s="4">
        <v>71</v>
      </c>
      <c r="H98" s="4">
        <v>30</v>
      </c>
      <c r="I98" s="4">
        <v>12.2</v>
      </c>
      <c r="J98" s="4">
        <v>3</v>
      </c>
      <c r="K98" s="2" t="s">
        <v>184</v>
      </c>
      <c r="L98" s="12">
        <f t="shared" si="20"/>
        <v>622.19999999999993</v>
      </c>
      <c r="M98" s="13">
        <f t="shared" si="21"/>
        <v>9.0173913043478269</v>
      </c>
      <c r="N98" s="13">
        <f t="shared" si="22"/>
        <v>12.345238095238095</v>
      </c>
      <c r="O98" s="12">
        <v>8.8000000000000007</v>
      </c>
      <c r="P98" s="12">
        <v>9</v>
      </c>
      <c r="Q98" s="2"/>
      <c r="R98" s="2"/>
      <c r="V98" s="1"/>
      <c r="W98" s="4">
        <f>MONTH(__Anonymous_Sheet_DB__0[[#This Row],[Date / Time]])</f>
        <v>12</v>
      </c>
      <c r="X98" s="15">
        <f>__Anonymous_Sheet_DB__0[[#This Row],[Date / Time]]</f>
        <v>43826.505555555559</v>
      </c>
      <c r="Y98" s="4">
        <f t="shared" si="16"/>
        <v>2019</v>
      </c>
      <c r="Z98" s="4">
        <f t="shared" si="17"/>
        <v>52</v>
      </c>
    </row>
    <row r="99" spans="1:26" ht="25.5">
      <c r="A99" s="2">
        <f t="shared" si="18"/>
        <v>1897</v>
      </c>
      <c r="B99" s="10" t="s">
        <v>155</v>
      </c>
      <c r="C99" s="11">
        <v>43829.444444444445</v>
      </c>
      <c r="D99" s="4">
        <v>27</v>
      </c>
      <c r="E99" s="4">
        <v>13.6</v>
      </c>
      <c r="F99" s="4">
        <v>230</v>
      </c>
      <c r="G99" s="4">
        <v>120</v>
      </c>
      <c r="H99" s="4">
        <v>36</v>
      </c>
      <c r="I99" s="4">
        <v>12.2</v>
      </c>
      <c r="J99" s="4">
        <v>3</v>
      </c>
      <c r="K99" s="2" t="s">
        <v>184</v>
      </c>
      <c r="L99" s="12">
        <f t="shared" si="20"/>
        <v>1342</v>
      </c>
      <c r="M99" s="13">
        <f t="shared" si="21"/>
        <v>10.075075075075075</v>
      </c>
      <c r="N99" s="13">
        <f t="shared" si="22"/>
        <v>15.795668549905839</v>
      </c>
      <c r="O99" s="12">
        <v>9.1999999999999993</v>
      </c>
      <c r="P99" s="12">
        <v>5</v>
      </c>
      <c r="Q99" s="2"/>
      <c r="R99" s="2"/>
      <c r="V99" s="1"/>
      <c r="W99" s="4">
        <f>MONTH(__Anonymous_Sheet_DB__0[[#This Row],[Date / Time]])</f>
        <v>12</v>
      </c>
      <c r="X99" s="15">
        <f>__Anonymous_Sheet_DB__0[[#This Row],[Date / Time]]</f>
        <v>43829.444444444445</v>
      </c>
      <c r="Y99" s="4">
        <f t="shared" si="16"/>
        <v>2019</v>
      </c>
      <c r="Z99" s="4">
        <f t="shared" si="17"/>
        <v>53</v>
      </c>
    </row>
    <row r="100" spans="1:26" ht="25.5">
      <c r="A100" s="2">
        <f t="shared" si="18"/>
        <v>1898</v>
      </c>
      <c r="B100" s="10" t="s">
        <v>155</v>
      </c>
      <c r="C100" s="11">
        <v>43829.504166666666</v>
      </c>
      <c r="D100" s="4">
        <v>16</v>
      </c>
      <c r="E100" s="4">
        <v>8.6999999999999993</v>
      </c>
      <c r="F100" s="4">
        <v>112</v>
      </c>
      <c r="G100" s="4">
        <v>55</v>
      </c>
      <c r="H100" s="4">
        <v>27</v>
      </c>
      <c r="I100" s="4">
        <v>12.2</v>
      </c>
      <c r="J100" s="4">
        <v>3</v>
      </c>
      <c r="K100" s="2" t="s">
        <v>184</v>
      </c>
      <c r="L100" s="12">
        <f t="shared" si="20"/>
        <v>695.4</v>
      </c>
      <c r="M100" s="13">
        <f t="shared" si="21"/>
        <v>9.9059829059829063</v>
      </c>
      <c r="N100" s="13">
        <f t="shared" si="22"/>
        <v>13.773024361259656</v>
      </c>
      <c r="O100" s="12">
        <v>8.6999999999999993</v>
      </c>
      <c r="P100" s="12">
        <v>6</v>
      </c>
      <c r="Q100" s="2"/>
      <c r="R100" s="2"/>
      <c r="V100" s="1"/>
      <c r="W100" s="4">
        <f>MONTH(__Anonymous_Sheet_DB__0[[#This Row],[Date / Time]])</f>
        <v>12</v>
      </c>
      <c r="X100" s="15">
        <f>__Anonymous_Sheet_DB__0[[#This Row],[Date / Time]]</f>
        <v>43829.504166666666</v>
      </c>
      <c r="Y100" s="4">
        <f t="shared" si="16"/>
        <v>2019</v>
      </c>
      <c r="Z100" s="4">
        <f t="shared" si="17"/>
        <v>53</v>
      </c>
    </row>
    <row r="101" spans="1:26" ht="38.25">
      <c r="A101" s="2">
        <f t="shared" si="18"/>
        <v>1899</v>
      </c>
      <c r="B101" s="10" t="s">
        <v>155</v>
      </c>
      <c r="C101" s="11">
        <v>43830.449305555558</v>
      </c>
      <c r="D101" s="4">
        <v>21</v>
      </c>
      <c r="E101" s="4">
        <v>12.5</v>
      </c>
      <c r="F101" s="4">
        <v>280</v>
      </c>
      <c r="G101" s="4">
        <v>163</v>
      </c>
      <c r="H101" s="4">
        <v>37</v>
      </c>
      <c r="I101" s="4">
        <v>12</v>
      </c>
      <c r="J101" s="4">
        <v>3</v>
      </c>
      <c r="K101" s="2" t="s">
        <v>192</v>
      </c>
      <c r="L101" s="12">
        <f t="shared" si="20"/>
        <v>1404</v>
      </c>
      <c r="M101" s="13">
        <f t="shared" si="21"/>
        <v>12.240627724498692</v>
      </c>
      <c r="N101" s="13">
        <f t="shared" si="22"/>
        <v>16.864864864864863</v>
      </c>
      <c r="O101" s="12">
        <v>7.5</v>
      </c>
      <c r="P101" s="12">
        <v>8</v>
      </c>
      <c r="Q101" s="2"/>
      <c r="R101" s="2"/>
      <c r="V101" s="1"/>
      <c r="W101" s="4">
        <f>MONTH(__Anonymous_Sheet_DB__0[[#This Row],[Date / Time]])</f>
        <v>12</v>
      </c>
      <c r="X101" s="15">
        <f>__Anonymous_Sheet_DB__0[[#This Row],[Date / Time]]</f>
        <v>43830.449305555558</v>
      </c>
      <c r="Y101" s="4">
        <f t="shared" si="16"/>
        <v>2019</v>
      </c>
      <c r="Z101" s="4">
        <f t="shared" si="17"/>
        <v>53</v>
      </c>
    </row>
    <row r="102" spans="1:26" ht="38.25">
      <c r="A102" s="2">
        <f t="shared" si="18"/>
        <v>1900</v>
      </c>
      <c r="B102" s="10" t="s">
        <v>155</v>
      </c>
      <c r="C102" s="11">
        <v>43830.518750000003</v>
      </c>
      <c r="D102" s="4">
        <v>17</v>
      </c>
      <c r="E102" s="4">
        <v>8.6999999999999993</v>
      </c>
      <c r="F102" s="4">
        <v>151</v>
      </c>
      <c r="G102" s="4">
        <v>76</v>
      </c>
      <c r="H102" s="4">
        <v>33</v>
      </c>
      <c r="I102" s="4">
        <v>12</v>
      </c>
      <c r="J102" s="4">
        <v>3</v>
      </c>
      <c r="K102" s="2" t="s">
        <v>192</v>
      </c>
      <c r="L102" s="12">
        <f t="shared" si="20"/>
        <v>900</v>
      </c>
      <c r="M102" s="13">
        <f t="shared" si="21"/>
        <v>10.1010101010101</v>
      </c>
      <c r="N102" s="13">
        <f t="shared" si="22"/>
        <v>14.584346135148275</v>
      </c>
      <c r="O102" s="12">
        <v>7.5</v>
      </c>
      <c r="P102" s="12">
        <v>10</v>
      </c>
      <c r="Q102" s="2"/>
      <c r="R102" s="2"/>
      <c r="V102" s="1"/>
      <c r="W102" s="4">
        <f>MONTH(__Anonymous_Sheet_DB__0[[#This Row],[Date / Time]])</f>
        <v>12</v>
      </c>
      <c r="X102" s="15">
        <f>__Anonymous_Sheet_DB__0[[#This Row],[Date / Time]]</f>
        <v>43830.518750000003</v>
      </c>
      <c r="Y102" s="4">
        <f t="shared" si="16"/>
        <v>2019</v>
      </c>
      <c r="Z102" s="4">
        <f t="shared" si="17"/>
        <v>53</v>
      </c>
    </row>
    <row r="103" spans="1:26">
      <c r="A103" s="2"/>
      <c r="B103" s="10"/>
      <c r="C103" s="11"/>
      <c r="D103" s="4"/>
      <c r="E103" s="4"/>
      <c r="F103" s="4"/>
      <c r="G103" s="4"/>
      <c r="H103" s="4"/>
      <c r="I103" s="4"/>
      <c r="J103" s="4"/>
      <c r="K103" s="2"/>
      <c r="L103" s="12"/>
      <c r="M103" s="13"/>
      <c r="N103" s="13"/>
      <c r="O103" s="12"/>
      <c r="P103" s="12"/>
      <c r="Q103" s="2"/>
      <c r="R103" s="2"/>
      <c r="V103" s="1"/>
      <c r="W103" s="4">
        <f>MONTH(__Anonymous_Sheet_DB__0[[#This Row],[Date / Time]])</f>
        <v>1</v>
      </c>
      <c r="X103" s="15">
        <f>__Anonymous_Sheet_DB__0[[#This Row],[Date / Time]]</f>
        <v>0</v>
      </c>
      <c r="Y103" s="4">
        <f t="shared" si="16"/>
        <v>1900</v>
      </c>
      <c r="Z103" s="4">
        <f t="shared" si="17"/>
        <v>0</v>
      </c>
    </row>
    <row r="104" spans="1:26">
      <c r="A104" s="2"/>
      <c r="B104" s="10"/>
      <c r="C104" s="11"/>
      <c r="D104" s="4"/>
      <c r="E104" s="4"/>
      <c r="F104" s="4"/>
      <c r="G104" s="4"/>
      <c r="H104" s="4"/>
      <c r="I104" s="4"/>
      <c r="J104" s="4"/>
      <c r="K104" s="2"/>
      <c r="L104" s="12"/>
      <c r="M104" s="13"/>
      <c r="N104" s="13"/>
      <c r="O104" s="12"/>
      <c r="P104" s="12"/>
      <c r="Q104" s="2"/>
      <c r="R104" s="2"/>
      <c r="V104" s="1"/>
      <c r="W104" s="4">
        <f>MONTH(__Anonymous_Sheet_DB__0[[#This Row],[Date / Time]])</f>
        <v>1</v>
      </c>
      <c r="X104" s="15">
        <f>__Anonymous_Sheet_DB__0[[#This Row],[Date / Time]]</f>
        <v>0</v>
      </c>
      <c r="Y104" s="4">
        <f t="shared" si="16"/>
        <v>1900</v>
      </c>
      <c r="Z104" s="4">
        <f t="shared" si="17"/>
        <v>0</v>
      </c>
    </row>
    <row r="105" spans="1:26">
      <c r="A105" s="2"/>
      <c r="B105" s="10"/>
      <c r="C105" s="11"/>
      <c r="D105" s="4"/>
      <c r="E105" s="4"/>
      <c r="F105" s="4"/>
      <c r="G105" s="4"/>
      <c r="H105" s="4"/>
      <c r="I105" s="4"/>
      <c r="J105" s="4"/>
      <c r="K105" s="2"/>
      <c r="L105" s="12"/>
      <c r="M105" s="13"/>
      <c r="N105" s="13"/>
      <c r="O105" s="12"/>
      <c r="P105" s="12"/>
      <c r="Q105" s="2"/>
      <c r="R105" s="2"/>
      <c r="V105" s="1"/>
      <c r="W105" s="4">
        <f>MONTH(__Anonymous_Sheet_DB__0[[#This Row],[Date / Time]])</f>
        <v>1</v>
      </c>
      <c r="X105" s="15">
        <f>__Anonymous_Sheet_DB__0[[#This Row],[Date / Time]]</f>
        <v>0</v>
      </c>
      <c r="Y105" s="4">
        <f t="shared" si="16"/>
        <v>1900</v>
      </c>
      <c r="Z105" s="4">
        <f t="shared" si="17"/>
        <v>0</v>
      </c>
    </row>
    <row r="106" spans="1:26">
      <c r="A106" s="2"/>
      <c r="B106" s="10"/>
      <c r="C106" s="11"/>
      <c r="D106" s="4"/>
      <c r="E106" s="4"/>
      <c r="F106" s="4"/>
      <c r="G106" s="4"/>
      <c r="H106" s="4"/>
      <c r="I106" s="4"/>
      <c r="J106" s="4"/>
      <c r="K106" s="2"/>
      <c r="L106" s="12"/>
      <c r="M106" s="13"/>
      <c r="N106" s="13"/>
      <c r="O106" s="12"/>
      <c r="P106" s="12"/>
      <c r="Q106" s="2"/>
      <c r="R106" s="2"/>
      <c r="V106" s="1"/>
      <c r="W106" s="4">
        <f>MONTH(__Anonymous_Sheet_DB__0[[#This Row],[Date / Time]])</f>
        <v>1</v>
      </c>
      <c r="X106" s="15">
        <f>__Anonymous_Sheet_DB__0[[#This Row],[Date / Time]]</f>
        <v>0</v>
      </c>
      <c r="Y106" s="4">
        <f t="shared" si="16"/>
        <v>1900</v>
      </c>
      <c r="Z106" s="4">
        <f t="shared" si="17"/>
        <v>0</v>
      </c>
    </row>
    <row r="107" spans="1:26">
      <c r="A107" s="2"/>
      <c r="B107" s="10"/>
      <c r="C107" s="11"/>
      <c r="D107" s="4"/>
      <c r="E107" s="4"/>
      <c r="F107" s="4"/>
      <c r="G107" s="4"/>
      <c r="H107" s="4"/>
      <c r="I107" s="4"/>
      <c r="J107" s="4"/>
      <c r="K107" s="2"/>
      <c r="L107" s="12"/>
      <c r="M107" s="13"/>
      <c r="N107" s="13"/>
      <c r="O107" s="12"/>
      <c r="P107" s="12"/>
      <c r="Q107" s="2"/>
      <c r="R107" s="2"/>
      <c r="V107" s="1"/>
      <c r="W107" s="4">
        <f>MONTH(__Anonymous_Sheet_DB__0[[#This Row],[Date / Time]])</f>
        <v>1</v>
      </c>
      <c r="X107" s="15">
        <f>__Anonymous_Sheet_DB__0[[#This Row],[Date / Time]]</f>
        <v>0</v>
      </c>
      <c r="Y107" s="4">
        <f t="shared" si="16"/>
        <v>1900</v>
      </c>
      <c r="Z107" s="4">
        <f t="shared" si="17"/>
        <v>0</v>
      </c>
    </row>
    <row r="108" spans="1:26">
      <c r="A108" s="2"/>
      <c r="B108" s="10"/>
      <c r="C108" s="11"/>
      <c r="D108" s="4"/>
      <c r="E108" s="4"/>
      <c r="F108" s="4"/>
      <c r="G108" s="4"/>
      <c r="H108" s="4"/>
      <c r="I108" s="4"/>
      <c r="J108" s="4"/>
      <c r="K108" s="2"/>
      <c r="L108" s="12"/>
      <c r="M108" s="13"/>
      <c r="N108" s="13"/>
      <c r="O108" s="12"/>
      <c r="P108" s="12"/>
      <c r="Q108" s="2"/>
      <c r="R108" s="2"/>
      <c r="V108" s="1"/>
      <c r="W108" s="4">
        <f>MONTH(__Anonymous_Sheet_DB__0[[#This Row],[Date / Time]])</f>
        <v>1</v>
      </c>
      <c r="X108" s="15">
        <f>__Anonymous_Sheet_DB__0[[#This Row],[Date / Time]]</f>
        <v>0</v>
      </c>
      <c r="Y108" s="4">
        <f t="shared" si="16"/>
        <v>1900</v>
      </c>
      <c r="Z108" s="4">
        <f t="shared" si="17"/>
        <v>0</v>
      </c>
    </row>
    <row r="109" spans="1:26">
      <c r="A109" s="2"/>
      <c r="B109" s="10"/>
      <c r="C109" s="11"/>
      <c r="D109" s="4"/>
      <c r="E109" s="4"/>
      <c r="F109" s="4"/>
      <c r="G109" s="4"/>
      <c r="H109" s="4"/>
      <c r="I109" s="4"/>
      <c r="J109" s="4"/>
      <c r="K109" s="2"/>
      <c r="L109" s="12"/>
      <c r="M109" s="13"/>
      <c r="N109" s="13"/>
      <c r="O109" s="12"/>
      <c r="P109" s="12"/>
      <c r="Q109" s="2"/>
      <c r="R109" s="2"/>
      <c r="V109" s="1"/>
      <c r="W109" s="4">
        <f>MONTH(__Anonymous_Sheet_DB__0[[#This Row],[Date / Time]])</f>
        <v>1</v>
      </c>
      <c r="X109" s="15">
        <f>__Anonymous_Sheet_DB__0[[#This Row],[Date / Time]]</f>
        <v>0</v>
      </c>
      <c r="Y109" s="4">
        <f t="shared" si="16"/>
        <v>1900</v>
      </c>
      <c r="Z109" s="4">
        <f t="shared" si="17"/>
        <v>0</v>
      </c>
    </row>
    <row r="110" spans="1:26">
      <c r="A110" s="2"/>
      <c r="B110" s="10"/>
      <c r="C110" s="11"/>
      <c r="D110" s="4"/>
      <c r="E110" s="4"/>
      <c r="F110" s="4"/>
      <c r="G110" s="4"/>
      <c r="H110" s="4"/>
      <c r="I110" s="4"/>
      <c r="J110" s="4"/>
      <c r="K110" s="2"/>
      <c r="L110" s="12"/>
      <c r="M110" s="13"/>
      <c r="N110" s="13"/>
      <c r="O110" s="12"/>
      <c r="P110" s="12"/>
      <c r="Q110" s="2"/>
      <c r="R110" s="2"/>
      <c r="V110" s="1"/>
      <c r="W110" s="4">
        <f>MONTH(__Anonymous_Sheet_DB__0[[#This Row],[Date / Time]])</f>
        <v>1</v>
      </c>
      <c r="X110" s="15">
        <f>__Anonymous_Sheet_DB__0[[#This Row],[Date / Time]]</f>
        <v>0</v>
      </c>
      <c r="Y110" s="4">
        <f t="shared" si="16"/>
        <v>1900</v>
      </c>
      <c r="Z110" s="4">
        <f t="shared" si="17"/>
        <v>0</v>
      </c>
    </row>
    <row r="111" spans="1:26">
      <c r="A111" s="2"/>
      <c r="B111" s="10"/>
      <c r="C111" s="11"/>
      <c r="D111" s="4"/>
      <c r="E111" s="4"/>
      <c r="F111" s="4"/>
      <c r="G111" s="4"/>
      <c r="H111" s="4"/>
      <c r="I111" s="4"/>
      <c r="J111" s="4"/>
      <c r="K111" s="2"/>
      <c r="L111" s="12"/>
      <c r="M111" s="13"/>
      <c r="N111" s="13"/>
      <c r="O111" s="12"/>
      <c r="P111" s="12"/>
      <c r="Q111" s="2"/>
      <c r="R111" s="2"/>
      <c r="V111" s="1"/>
      <c r="W111" s="4">
        <f>MONTH(__Anonymous_Sheet_DB__0[[#This Row],[Date / Time]])</f>
        <v>1</v>
      </c>
      <c r="X111" s="15">
        <f>__Anonymous_Sheet_DB__0[[#This Row],[Date / Time]]</f>
        <v>0</v>
      </c>
      <c r="Y111" s="4">
        <f t="shared" si="16"/>
        <v>1900</v>
      </c>
      <c r="Z111" s="4">
        <f t="shared" si="17"/>
        <v>0</v>
      </c>
    </row>
    <row r="112" spans="1:26">
      <c r="W112" s="4">
        <f>MONTH(__Anonymous_Sheet_DB__0[[#This Row],[Date / Time]])</f>
        <v>1</v>
      </c>
      <c r="X112" s="15">
        <f>__Anonymous_Sheet_DB__0[[#This Row],[Date / Time]]</f>
        <v>0</v>
      </c>
      <c r="Y112" s="4">
        <f t="shared" si="16"/>
        <v>1900</v>
      </c>
      <c r="Z112" s="4">
        <f t="shared" si="17"/>
        <v>0</v>
      </c>
    </row>
    <row r="113" spans="23:26">
      <c r="W113" s="4">
        <f>MONTH(__Anonymous_Sheet_DB__0[[#This Row],[Date / Time]])</f>
        <v>1</v>
      </c>
      <c r="X113" s="15">
        <f>__Anonymous_Sheet_DB__0[[#This Row],[Date / Time]]</f>
        <v>0</v>
      </c>
      <c r="Y113" s="4">
        <f t="shared" si="16"/>
        <v>1900</v>
      </c>
      <c r="Z113" s="4">
        <f t="shared" si="17"/>
        <v>0</v>
      </c>
    </row>
    <row r="114" spans="23:26">
      <c r="W114" s="4">
        <f>MONTH(__Anonymous_Sheet_DB__0[[#This Row],[Date / Time]])</f>
        <v>1</v>
      </c>
      <c r="X114" s="15">
        <f>__Anonymous_Sheet_DB__0[[#This Row],[Date / Time]]</f>
        <v>0</v>
      </c>
      <c r="Y114" s="4">
        <f t="shared" si="16"/>
        <v>1900</v>
      </c>
      <c r="Z114" s="4">
        <f t="shared" si="17"/>
        <v>0</v>
      </c>
    </row>
    <row r="115" spans="23:26">
      <c r="W115" s="4">
        <f>MONTH(__Anonymous_Sheet_DB__0[[#This Row],[Date / Time]])</f>
        <v>1</v>
      </c>
      <c r="X115" s="15">
        <f>__Anonymous_Sheet_DB__0[[#This Row],[Date / Time]]</f>
        <v>0</v>
      </c>
      <c r="Y115" s="4">
        <f t="shared" si="16"/>
        <v>1900</v>
      </c>
      <c r="Z115" s="4">
        <f t="shared" si="17"/>
        <v>0</v>
      </c>
    </row>
    <row r="116" spans="23:26">
      <c r="W116" s="4">
        <f>MONTH(__Anonymous_Sheet_DB__0[[#This Row],[Date / Time]])</f>
        <v>1</v>
      </c>
      <c r="X116" s="15">
        <f>__Anonymous_Sheet_DB__0[[#This Row],[Date / Time]]</f>
        <v>0</v>
      </c>
      <c r="Y116" s="4">
        <f t="shared" si="16"/>
        <v>1900</v>
      </c>
      <c r="Z116" s="4">
        <f t="shared" si="17"/>
        <v>0</v>
      </c>
    </row>
    <row r="117" spans="23:26">
      <c r="W117" s="4">
        <f>MONTH(__Anonymous_Sheet_DB__0[[#This Row],[Date / Time]])</f>
        <v>1</v>
      </c>
      <c r="X117" s="15">
        <f>__Anonymous_Sheet_DB__0[[#This Row],[Date / Time]]</f>
        <v>0</v>
      </c>
      <c r="Y117" s="4">
        <f t="shared" si="16"/>
        <v>1900</v>
      </c>
      <c r="Z117" s="4">
        <f t="shared" si="17"/>
        <v>0</v>
      </c>
    </row>
    <row r="118" spans="23:26">
      <c r="W118" s="4">
        <f>MONTH(__Anonymous_Sheet_DB__0[[#This Row],[Date / Time]])</f>
        <v>1</v>
      </c>
      <c r="X118" s="15">
        <f>__Anonymous_Sheet_DB__0[[#This Row],[Date / Time]]</f>
        <v>0</v>
      </c>
      <c r="Y118" s="4">
        <f t="shared" si="16"/>
        <v>1900</v>
      </c>
      <c r="Z118" s="4">
        <f t="shared" si="17"/>
        <v>0</v>
      </c>
    </row>
    <row r="119" spans="23:26">
      <c r="W119" s="4">
        <f>MONTH(__Anonymous_Sheet_DB__0[[#This Row],[Date / Time]])</f>
        <v>1</v>
      </c>
      <c r="X119" s="15">
        <f>__Anonymous_Sheet_DB__0[[#This Row],[Date / Time]]</f>
        <v>0</v>
      </c>
      <c r="Y119" s="4">
        <f t="shared" si="16"/>
        <v>1900</v>
      </c>
      <c r="Z119" s="4">
        <f t="shared" si="17"/>
        <v>0</v>
      </c>
    </row>
    <row r="120" spans="23:26">
      <c r="W120" s="4">
        <f>MONTH(__Anonymous_Sheet_DB__0[[#This Row],[Date / Time]])</f>
        <v>1</v>
      </c>
      <c r="X120" s="15">
        <f>__Anonymous_Sheet_DB__0[[#This Row],[Date / Time]]</f>
        <v>0</v>
      </c>
      <c r="Y120" s="4">
        <f t="shared" si="16"/>
        <v>1900</v>
      </c>
      <c r="Z120" s="4">
        <f t="shared" si="17"/>
        <v>0</v>
      </c>
    </row>
    <row r="121" spans="23:26">
      <c r="W121" s="4">
        <f>MONTH(__Anonymous_Sheet_DB__0[[#This Row],[Date / Time]])</f>
        <v>1</v>
      </c>
      <c r="X121" s="15">
        <f>__Anonymous_Sheet_DB__0[[#This Row],[Date / Time]]</f>
        <v>0</v>
      </c>
      <c r="Y121" s="4">
        <f t="shared" si="16"/>
        <v>1900</v>
      </c>
      <c r="Z121" s="4">
        <f t="shared" si="17"/>
        <v>0</v>
      </c>
    </row>
    <row r="122" spans="23:26">
      <c r="W122" s="4">
        <f>MONTH(__Anonymous_Sheet_DB__0[[#This Row],[Date / Time]])</f>
        <v>1</v>
      </c>
      <c r="X122" s="15">
        <f>__Anonymous_Sheet_DB__0[[#This Row],[Date / Time]]</f>
        <v>0</v>
      </c>
      <c r="Y122" s="4">
        <f t="shared" si="16"/>
        <v>1900</v>
      </c>
      <c r="Z122" s="4">
        <f t="shared" si="17"/>
        <v>0</v>
      </c>
    </row>
    <row r="123" spans="23:26">
      <c r="W123" s="4">
        <f>MONTH(__Anonymous_Sheet_DB__0[[#This Row],[Date / Time]])</f>
        <v>1</v>
      </c>
      <c r="X123" s="15">
        <f>__Anonymous_Sheet_DB__0[[#This Row],[Date / Time]]</f>
        <v>0</v>
      </c>
      <c r="Y123" s="4">
        <f t="shared" si="16"/>
        <v>1900</v>
      </c>
      <c r="Z123" s="4">
        <f t="shared" si="17"/>
        <v>0</v>
      </c>
    </row>
    <row r="124" spans="23:26">
      <c r="W124" s="4">
        <f>MONTH(__Anonymous_Sheet_DB__0[[#This Row],[Date / Time]])</f>
        <v>1</v>
      </c>
      <c r="X124" s="15">
        <f>__Anonymous_Sheet_DB__0[[#This Row],[Date / Time]]</f>
        <v>0</v>
      </c>
      <c r="Y124" s="4">
        <f t="shared" si="16"/>
        <v>1900</v>
      </c>
      <c r="Z124" s="4">
        <f t="shared" si="17"/>
        <v>0</v>
      </c>
    </row>
    <row r="125" spans="23:26">
      <c r="W125" s="4">
        <f>MONTH(__Anonymous_Sheet_DB__0[[#This Row],[Date / Time]])</f>
        <v>1</v>
      </c>
      <c r="X125" s="15">
        <f>__Anonymous_Sheet_DB__0[[#This Row],[Date / Time]]</f>
        <v>0</v>
      </c>
      <c r="Y125" s="4">
        <f t="shared" si="16"/>
        <v>1900</v>
      </c>
      <c r="Z125" s="4">
        <f t="shared" si="17"/>
        <v>0</v>
      </c>
    </row>
    <row r="126" spans="23:26">
      <c r="W126" s="4">
        <f>MONTH(__Anonymous_Sheet_DB__0[[#This Row],[Date / Time]])</f>
        <v>1</v>
      </c>
      <c r="X126" s="15">
        <f>__Anonymous_Sheet_DB__0[[#This Row],[Date / Time]]</f>
        <v>0</v>
      </c>
      <c r="Y126" s="4">
        <f t="shared" si="16"/>
        <v>1900</v>
      </c>
      <c r="Z126" s="4">
        <f t="shared" si="17"/>
        <v>0</v>
      </c>
    </row>
    <row r="127" spans="23:26">
      <c r="W127" s="4">
        <f>MONTH(__Anonymous_Sheet_DB__0[[#This Row],[Date / Time]])</f>
        <v>1</v>
      </c>
      <c r="X127" s="15">
        <f>__Anonymous_Sheet_DB__0[[#This Row],[Date / Time]]</f>
        <v>0</v>
      </c>
      <c r="Y127" s="4">
        <f t="shared" si="16"/>
        <v>1900</v>
      </c>
      <c r="Z127" s="4">
        <f t="shared" si="17"/>
        <v>0</v>
      </c>
    </row>
    <row r="128" spans="23:26">
      <c r="W128" s="4">
        <f>MONTH(__Anonymous_Sheet_DB__0[[#This Row],[Date / Time]])</f>
        <v>1</v>
      </c>
      <c r="X128" s="15">
        <f>__Anonymous_Sheet_DB__0[[#This Row],[Date / Time]]</f>
        <v>0</v>
      </c>
      <c r="Y128" s="4">
        <f t="shared" si="16"/>
        <v>1900</v>
      </c>
      <c r="Z128" s="4">
        <f t="shared" si="17"/>
        <v>0</v>
      </c>
    </row>
    <row r="129" spans="23:26">
      <c r="W129" s="4">
        <f>MONTH(__Anonymous_Sheet_DB__0[[#This Row],[Date / Time]])</f>
        <v>1</v>
      </c>
      <c r="X129" s="15">
        <f>__Anonymous_Sheet_DB__0[[#This Row],[Date / Time]]</f>
        <v>0</v>
      </c>
      <c r="Y129" s="4">
        <f t="shared" si="16"/>
        <v>1900</v>
      </c>
      <c r="Z129" s="4">
        <f t="shared" si="17"/>
        <v>0</v>
      </c>
    </row>
    <row r="130" spans="23:26">
      <c r="W130" s="4">
        <f>MONTH(__Anonymous_Sheet_DB__0[[#This Row],[Date / Time]])</f>
        <v>1</v>
      </c>
      <c r="X130" s="15">
        <f>__Anonymous_Sheet_DB__0[[#This Row],[Date / Time]]</f>
        <v>0</v>
      </c>
      <c r="Y130" s="4">
        <f t="shared" ref="Y130:Y193" si="23">YEAR(C130)</f>
        <v>1900</v>
      </c>
      <c r="Z130" s="4">
        <f t="shared" ref="Z130:Z193" si="24">WEEKNUM(C130,1)</f>
        <v>0</v>
      </c>
    </row>
    <row r="131" spans="23:26">
      <c r="W131" s="4">
        <f>MONTH(__Anonymous_Sheet_DB__0[[#This Row],[Date / Time]])</f>
        <v>1</v>
      </c>
      <c r="X131" s="15">
        <f>__Anonymous_Sheet_DB__0[[#This Row],[Date / Time]]</f>
        <v>0</v>
      </c>
      <c r="Y131" s="4">
        <f t="shared" si="23"/>
        <v>1900</v>
      </c>
      <c r="Z131" s="4">
        <f t="shared" si="24"/>
        <v>0</v>
      </c>
    </row>
    <row r="132" spans="23:26">
      <c r="W132" s="4">
        <f>MONTH(__Anonymous_Sheet_DB__0[[#This Row],[Date / Time]])</f>
        <v>1</v>
      </c>
      <c r="X132" s="15">
        <f>__Anonymous_Sheet_DB__0[[#This Row],[Date / Time]]</f>
        <v>0</v>
      </c>
      <c r="Y132" s="4">
        <f t="shared" si="23"/>
        <v>1900</v>
      </c>
      <c r="Z132" s="4">
        <f t="shared" si="24"/>
        <v>0</v>
      </c>
    </row>
    <row r="133" spans="23:26">
      <c r="W133" s="4">
        <f>MONTH(__Anonymous_Sheet_DB__0[[#This Row],[Date / Time]])</f>
        <v>1</v>
      </c>
      <c r="X133" s="15">
        <f>__Anonymous_Sheet_DB__0[[#This Row],[Date / Time]]</f>
        <v>0</v>
      </c>
      <c r="Y133" s="4">
        <f t="shared" si="23"/>
        <v>1900</v>
      </c>
      <c r="Z133" s="4">
        <f t="shared" si="24"/>
        <v>0</v>
      </c>
    </row>
    <row r="134" spans="23:26">
      <c r="W134" s="4">
        <f>MONTH(__Anonymous_Sheet_DB__0[[#This Row],[Date / Time]])</f>
        <v>1</v>
      </c>
      <c r="X134" s="15">
        <f>__Anonymous_Sheet_DB__0[[#This Row],[Date / Time]]</f>
        <v>0</v>
      </c>
      <c r="Y134" s="4">
        <f t="shared" si="23"/>
        <v>1900</v>
      </c>
      <c r="Z134" s="4">
        <f t="shared" si="24"/>
        <v>0</v>
      </c>
    </row>
    <row r="135" spans="23:26">
      <c r="W135" s="4">
        <f>MONTH(__Anonymous_Sheet_DB__0[[#This Row],[Date / Time]])</f>
        <v>1</v>
      </c>
      <c r="X135" s="15">
        <f>__Anonymous_Sheet_DB__0[[#This Row],[Date / Time]]</f>
        <v>0</v>
      </c>
      <c r="Y135" s="4">
        <f t="shared" si="23"/>
        <v>1900</v>
      </c>
      <c r="Z135" s="4">
        <f t="shared" si="24"/>
        <v>0</v>
      </c>
    </row>
    <row r="136" spans="23:26">
      <c r="W136" s="4">
        <f>MONTH(__Anonymous_Sheet_DB__0[[#This Row],[Date / Time]])</f>
        <v>1</v>
      </c>
      <c r="X136" s="15">
        <f>__Anonymous_Sheet_DB__0[[#This Row],[Date / Time]]</f>
        <v>0</v>
      </c>
      <c r="Y136" s="4">
        <f t="shared" si="23"/>
        <v>1900</v>
      </c>
      <c r="Z136" s="4">
        <f t="shared" si="24"/>
        <v>0</v>
      </c>
    </row>
    <row r="137" spans="23:26">
      <c r="W137" s="4">
        <f>MONTH(__Anonymous_Sheet_DB__0[[#This Row],[Date / Time]])</f>
        <v>1</v>
      </c>
      <c r="X137" s="15">
        <f>__Anonymous_Sheet_DB__0[[#This Row],[Date / Time]]</f>
        <v>0</v>
      </c>
      <c r="Y137" s="4">
        <f t="shared" si="23"/>
        <v>1900</v>
      </c>
      <c r="Z137" s="4">
        <f t="shared" si="24"/>
        <v>0</v>
      </c>
    </row>
    <row r="138" spans="23:26">
      <c r="W138" s="4">
        <f>MONTH(__Anonymous_Sheet_DB__0[[#This Row],[Date / Time]])</f>
        <v>1</v>
      </c>
      <c r="X138" s="15">
        <f>__Anonymous_Sheet_DB__0[[#This Row],[Date / Time]]</f>
        <v>0</v>
      </c>
      <c r="Y138" s="4">
        <f t="shared" si="23"/>
        <v>1900</v>
      </c>
      <c r="Z138" s="4">
        <f t="shared" si="24"/>
        <v>0</v>
      </c>
    </row>
    <row r="139" spans="23:26">
      <c r="W139" s="4">
        <f>MONTH(__Anonymous_Sheet_DB__0[[#This Row],[Date / Time]])</f>
        <v>1</v>
      </c>
      <c r="X139" s="15">
        <f>__Anonymous_Sheet_DB__0[[#This Row],[Date / Time]]</f>
        <v>0</v>
      </c>
      <c r="Y139" s="4">
        <f t="shared" si="23"/>
        <v>1900</v>
      </c>
      <c r="Z139" s="4">
        <f t="shared" si="24"/>
        <v>0</v>
      </c>
    </row>
    <row r="140" spans="23:26">
      <c r="W140" s="4">
        <f>MONTH(__Anonymous_Sheet_DB__0[[#This Row],[Date / Time]])</f>
        <v>1</v>
      </c>
      <c r="X140" s="15">
        <f>__Anonymous_Sheet_DB__0[[#This Row],[Date / Time]]</f>
        <v>0</v>
      </c>
      <c r="Y140" s="4">
        <f t="shared" si="23"/>
        <v>1900</v>
      </c>
      <c r="Z140" s="4">
        <f t="shared" si="24"/>
        <v>0</v>
      </c>
    </row>
    <row r="141" spans="23:26">
      <c r="W141" s="4">
        <f>MONTH(__Anonymous_Sheet_DB__0[[#This Row],[Date / Time]])</f>
        <v>1</v>
      </c>
      <c r="X141" s="15">
        <f>__Anonymous_Sheet_DB__0[[#This Row],[Date / Time]]</f>
        <v>0</v>
      </c>
      <c r="Y141" s="4">
        <f t="shared" si="23"/>
        <v>1900</v>
      </c>
      <c r="Z141" s="4">
        <f t="shared" si="24"/>
        <v>0</v>
      </c>
    </row>
    <row r="142" spans="23:26">
      <c r="W142" s="4">
        <f>MONTH(__Anonymous_Sheet_DB__0[[#This Row],[Date / Time]])</f>
        <v>1</v>
      </c>
      <c r="X142" s="15">
        <f>__Anonymous_Sheet_DB__0[[#This Row],[Date / Time]]</f>
        <v>0</v>
      </c>
      <c r="Y142" s="4">
        <f t="shared" si="23"/>
        <v>1900</v>
      </c>
      <c r="Z142" s="4">
        <f t="shared" si="24"/>
        <v>0</v>
      </c>
    </row>
    <row r="143" spans="23:26">
      <c r="W143" s="4">
        <f>MONTH(__Anonymous_Sheet_DB__0[[#This Row],[Date / Time]])</f>
        <v>1</v>
      </c>
      <c r="X143" s="15">
        <f>__Anonymous_Sheet_DB__0[[#This Row],[Date / Time]]</f>
        <v>0</v>
      </c>
      <c r="Y143" s="4">
        <f t="shared" si="23"/>
        <v>1900</v>
      </c>
      <c r="Z143" s="4">
        <f t="shared" si="24"/>
        <v>0</v>
      </c>
    </row>
    <row r="144" spans="23:26">
      <c r="W144" s="4">
        <f>MONTH(__Anonymous_Sheet_DB__0[[#This Row],[Date / Time]])</f>
        <v>1</v>
      </c>
      <c r="X144" s="15">
        <f>__Anonymous_Sheet_DB__0[[#This Row],[Date / Time]]</f>
        <v>0</v>
      </c>
      <c r="Y144" s="4">
        <f t="shared" si="23"/>
        <v>1900</v>
      </c>
      <c r="Z144" s="4">
        <f t="shared" si="24"/>
        <v>0</v>
      </c>
    </row>
    <row r="145" spans="23:26">
      <c r="W145" s="4">
        <f>MONTH(__Anonymous_Sheet_DB__0[[#This Row],[Date / Time]])</f>
        <v>1</v>
      </c>
      <c r="X145" s="15">
        <f>__Anonymous_Sheet_DB__0[[#This Row],[Date / Time]]</f>
        <v>0</v>
      </c>
      <c r="Y145" s="4">
        <f t="shared" si="23"/>
        <v>1900</v>
      </c>
      <c r="Z145" s="4">
        <f t="shared" si="24"/>
        <v>0</v>
      </c>
    </row>
    <row r="146" spans="23:26">
      <c r="W146" s="4">
        <f>MONTH(__Anonymous_Sheet_DB__0[[#This Row],[Date / Time]])</f>
        <v>1</v>
      </c>
      <c r="X146" s="15">
        <f>__Anonymous_Sheet_DB__0[[#This Row],[Date / Time]]</f>
        <v>0</v>
      </c>
      <c r="Y146" s="4">
        <f t="shared" si="23"/>
        <v>1900</v>
      </c>
      <c r="Z146" s="4">
        <f t="shared" si="24"/>
        <v>0</v>
      </c>
    </row>
    <row r="147" spans="23:26">
      <c r="W147" s="4">
        <f>MONTH(__Anonymous_Sheet_DB__0[[#This Row],[Date / Time]])</f>
        <v>1</v>
      </c>
      <c r="X147" s="15">
        <f>__Anonymous_Sheet_DB__0[[#This Row],[Date / Time]]</f>
        <v>0</v>
      </c>
      <c r="Y147" s="4">
        <f t="shared" si="23"/>
        <v>1900</v>
      </c>
      <c r="Z147" s="4">
        <f t="shared" si="24"/>
        <v>0</v>
      </c>
    </row>
    <row r="148" spans="23:26">
      <c r="W148" s="4">
        <f>MONTH(__Anonymous_Sheet_DB__0[[#This Row],[Date / Time]])</f>
        <v>1</v>
      </c>
      <c r="X148" s="15">
        <f>__Anonymous_Sheet_DB__0[[#This Row],[Date / Time]]</f>
        <v>0</v>
      </c>
      <c r="Y148" s="4">
        <f t="shared" si="23"/>
        <v>1900</v>
      </c>
      <c r="Z148" s="4">
        <f t="shared" si="24"/>
        <v>0</v>
      </c>
    </row>
    <row r="149" spans="23:26">
      <c r="W149" s="4">
        <f>MONTH(__Anonymous_Sheet_DB__0[[#This Row],[Date / Time]])</f>
        <v>1</v>
      </c>
      <c r="X149" s="15">
        <f>__Anonymous_Sheet_DB__0[[#This Row],[Date / Time]]</f>
        <v>0</v>
      </c>
      <c r="Y149" s="4">
        <f t="shared" si="23"/>
        <v>1900</v>
      </c>
      <c r="Z149" s="4">
        <f t="shared" si="24"/>
        <v>0</v>
      </c>
    </row>
    <row r="150" spans="23:26">
      <c r="W150" s="4">
        <f>MONTH(__Anonymous_Sheet_DB__0[[#This Row],[Date / Time]])</f>
        <v>1</v>
      </c>
      <c r="X150" s="15">
        <f>__Anonymous_Sheet_DB__0[[#This Row],[Date / Time]]</f>
        <v>0</v>
      </c>
      <c r="Y150" s="4">
        <f t="shared" si="23"/>
        <v>1900</v>
      </c>
      <c r="Z150" s="4">
        <f t="shared" si="24"/>
        <v>0</v>
      </c>
    </row>
    <row r="151" spans="23:26">
      <c r="W151" s="4">
        <f>MONTH(__Anonymous_Sheet_DB__0[[#This Row],[Date / Time]])</f>
        <v>1</v>
      </c>
      <c r="X151" s="15">
        <f>__Anonymous_Sheet_DB__0[[#This Row],[Date / Time]]</f>
        <v>0</v>
      </c>
      <c r="Y151" s="4">
        <f t="shared" si="23"/>
        <v>1900</v>
      </c>
      <c r="Z151" s="4">
        <f t="shared" si="24"/>
        <v>0</v>
      </c>
    </row>
    <row r="152" spans="23:26">
      <c r="W152" s="4">
        <f>MONTH(__Anonymous_Sheet_DB__0[[#This Row],[Date / Time]])</f>
        <v>1</v>
      </c>
      <c r="X152" s="15">
        <f>__Anonymous_Sheet_DB__0[[#This Row],[Date / Time]]</f>
        <v>0</v>
      </c>
      <c r="Y152" s="4">
        <f t="shared" si="23"/>
        <v>1900</v>
      </c>
      <c r="Z152" s="4">
        <f t="shared" si="24"/>
        <v>0</v>
      </c>
    </row>
    <row r="153" spans="23:26">
      <c r="W153" s="4">
        <f>MONTH(__Anonymous_Sheet_DB__0[[#This Row],[Date / Time]])</f>
        <v>1</v>
      </c>
      <c r="X153" s="15">
        <f>__Anonymous_Sheet_DB__0[[#This Row],[Date / Time]]</f>
        <v>0</v>
      </c>
      <c r="Y153" s="4">
        <f t="shared" si="23"/>
        <v>1900</v>
      </c>
      <c r="Z153" s="4">
        <f t="shared" si="24"/>
        <v>0</v>
      </c>
    </row>
    <row r="154" spans="23:26">
      <c r="W154" s="4">
        <f>MONTH(__Anonymous_Sheet_DB__0[[#This Row],[Date / Time]])</f>
        <v>1</v>
      </c>
      <c r="X154" s="15">
        <f>__Anonymous_Sheet_DB__0[[#This Row],[Date / Time]]</f>
        <v>0</v>
      </c>
      <c r="Y154" s="4">
        <f t="shared" si="23"/>
        <v>1900</v>
      </c>
      <c r="Z154" s="4">
        <f t="shared" si="24"/>
        <v>0</v>
      </c>
    </row>
    <row r="155" spans="23:26">
      <c r="W155" s="4">
        <f>MONTH(__Anonymous_Sheet_DB__0[[#This Row],[Date / Time]])</f>
        <v>1</v>
      </c>
      <c r="X155" s="15">
        <f>__Anonymous_Sheet_DB__0[[#This Row],[Date / Time]]</f>
        <v>0</v>
      </c>
      <c r="Y155" s="4">
        <f t="shared" si="23"/>
        <v>1900</v>
      </c>
      <c r="Z155" s="4">
        <f t="shared" si="24"/>
        <v>0</v>
      </c>
    </row>
    <row r="156" spans="23:26">
      <c r="W156" s="4">
        <f>MONTH(__Anonymous_Sheet_DB__0[[#This Row],[Date / Time]])</f>
        <v>1</v>
      </c>
      <c r="X156" s="15">
        <f>__Anonymous_Sheet_DB__0[[#This Row],[Date / Time]]</f>
        <v>0</v>
      </c>
      <c r="Y156" s="4">
        <f t="shared" si="23"/>
        <v>1900</v>
      </c>
      <c r="Z156" s="4">
        <f t="shared" si="24"/>
        <v>0</v>
      </c>
    </row>
    <row r="157" spans="23:26">
      <c r="W157" s="4">
        <f>MONTH(__Anonymous_Sheet_DB__0[[#This Row],[Date / Time]])</f>
        <v>1</v>
      </c>
      <c r="X157" s="15">
        <f>__Anonymous_Sheet_DB__0[[#This Row],[Date / Time]]</f>
        <v>0</v>
      </c>
      <c r="Y157" s="4">
        <f t="shared" si="23"/>
        <v>1900</v>
      </c>
      <c r="Z157" s="4">
        <f t="shared" si="24"/>
        <v>0</v>
      </c>
    </row>
    <row r="158" spans="23:26">
      <c r="W158" s="4">
        <f>MONTH(__Anonymous_Sheet_DB__0[[#This Row],[Date / Time]])</f>
        <v>1</v>
      </c>
      <c r="X158" s="15">
        <f>__Anonymous_Sheet_DB__0[[#This Row],[Date / Time]]</f>
        <v>0</v>
      </c>
      <c r="Y158" s="4">
        <f t="shared" si="23"/>
        <v>1900</v>
      </c>
      <c r="Z158" s="4">
        <f t="shared" si="24"/>
        <v>0</v>
      </c>
    </row>
    <row r="159" spans="23:26">
      <c r="W159" s="4">
        <f>MONTH(__Anonymous_Sheet_DB__0[[#This Row],[Date / Time]])</f>
        <v>1</v>
      </c>
      <c r="X159" s="15">
        <f>__Anonymous_Sheet_DB__0[[#This Row],[Date / Time]]</f>
        <v>0</v>
      </c>
      <c r="Y159" s="4">
        <f t="shared" si="23"/>
        <v>1900</v>
      </c>
      <c r="Z159" s="4">
        <f t="shared" si="24"/>
        <v>0</v>
      </c>
    </row>
    <row r="160" spans="23:26">
      <c r="W160" s="4">
        <f>MONTH(__Anonymous_Sheet_DB__0[[#This Row],[Date / Time]])</f>
        <v>1</v>
      </c>
      <c r="X160" s="15">
        <f>__Anonymous_Sheet_DB__0[[#This Row],[Date / Time]]</f>
        <v>0</v>
      </c>
      <c r="Y160" s="4">
        <f t="shared" si="23"/>
        <v>1900</v>
      </c>
      <c r="Z160" s="4">
        <f t="shared" si="24"/>
        <v>0</v>
      </c>
    </row>
    <row r="161" spans="23:26">
      <c r="W161" s="4">
        <f>MONTH(__Anonymous_Sheet_DB__0[[#This Row],[Date / Time]])</f>
        <v>1</v>
      </c>
      <c r="X161" s="15">
        <f>__Anonymous_Sheet_DB__0[[#This Row],[Date / Time]]</f>
        <v>0</v>
      </c>
      <c r="Y161" s="4">
        <f t="shared" si="23"/>
        <v>1900</v>
      </c>
      <c r="Z161" s="4">
        <f t="shared" si="24"/>
        <v>0</v>
      </c>
    </row>
    <row r="162" spans="23:26">
      <c r="W162" s="4">
        <f>MONTH(__Anonymous_Sheet_DB__0[[#This Row],[Date / Time]])</f>
        <v>1</v>
      </c>
      <c r="X162" s="15">
        <f>__Anonymous_Sheet_DB__0[[#This Row],[Date / Time]]</f>
        <v>0</v>
      </c>
      <c r="Y162" s="4">
        <f t="shared" si="23"/>
        <v>1900</v>
      </c>
      <c r="Z162" s="4">
        <f t="shared" si="24"/>
        <v>0</v>
      </c>
    </row>
    <row r="163" spans="23:26">
      <c r="W163" s="4">
        <f>MONTH(__Anonymous_Sheet_DB__0[[#This Row],[Date / Time]])</f>
        <v>1</v>
      </c>
      <c r="X163" s="15">
        <f>__Anonymous_Sheet_DB__0[[#This Row],[Date / Time]]</f>
        <v>0</v>
      </c>
      <c r="Y163" s="4">
        <f t="shared" si="23"/>
        <v>1900</v>
      </c>
      <c r="Z163" s="4">
        <f t="shared" si="24"/>
        <v>0</v>
      </c>
    </row>
    <row r="164" spans="23:26">
      <c r="W164" s="4">
        <f>MONTH(__Anonymous_Sheet_DB__0[[#This Row],[Date / Time]])</f>
        <v>1</v>
      </c>
      <c r="X164" s="15">
        <f>__Anonymous_Sheet_DB__0[[#This Row],[Date / Time]]</f>
        <v>0</v>
      </c>
      <c r="Y164" s="4">
        <f t="shared" si="23"/>
        <v>1900</v>
      </c>
      <c r="Z164" s="4">
        <f t="shared" si="24"/>
        <v>0</v>
      </c>
    </row>
    <row r="165" spans="23:26">
      <c r="W165" s="4">
        <f>MONTH(__Anonymous_Sheet_DB__0[[#This Row],[Date / Time]])</f>
        <v>1</v>
      </c>
      <c r="X165" s="15">
        <f>__Anonymous_Sheet_DB__0[[#This Row],[Date / Time]]</f>
        <v>0</v>
      </c>
      <c r="Y165" s="4">
        <f t="shared" si="23"/>
        <v>1900</v>
      </c>
      <c r="Z165" s="4">
        <f t="shared" si="24"/>
        <v>0</v>
      </c>
    </row>
    <row r="166" spans="23:26">
      <c r="W166" s="4">
        <f>MONTH(__Anonymous_Sheet_DB__0[[#This Row],[Date / Time]])</f>
        <v>1</v>
      </c>
      <c r="X166" s="15">
        <f>__Anonymous_Sheet_DB__0[[#This Row],[Date / Time]]</f>
        <v>0</v>
      </c>
      <c r="Y166" s="4">
        <f t="shared" si="23"/>
        <v>1900</v>
      </c>
      <c r="Z166" s="4">
        <f t="shared" si="24"/>
        <v>0</v>
      </c>
    </row>
    <row r="167" spans="23:26">
      <c r="W167" s="4">
        <f>MONTH(__Anonymous_Sheet_DB__0[[#This Row],[Date / Time]])</f>
        <v>1</v>
      </c>
      <c r="X167" s="15">
        <f>__Anonymous_Sheet_DB__0[[#This Row],[Date / Time]]</f>
        <v>0</v>
      </c>
      <c r="Y167" s="4">
        <f t="shared" si="23"/>
        <v>1900</v>
      </c>
      <c r="Z167" s="4">
        <f t="shared" si="24"/>
        <v>0</v>
      </c>
    </row>
    <row r="168" spans="23:26">
      <c r="W168" s="4">
        <f>MONTH(__Anonymous_Sheet_DB__0[[#This Row],[Date / Time]])</f>
        <v>1</v>
      </c>
      <c r="X168" s="15">
        <f>__Anonymous_Sheet_DB__0[[#This Row],[Date / Time]]</f>
        <v>0</v>
      </c>
      <c r="Y168" s="4">
        <f t="shared" si="23"/>
        <v>1900</v>
      </c>
      <c r="Z168" s="4">
        <f t="shared" si="24"/>
        <v>0</v>
      </c>
    </row>
    <row r="169" spans="23:26">
      <c r="W169" s="4">
        <f>MONTH(__Anonymous_Sheet_DB__0[[#This Row],[Date / Time]])</f>
        <v>1</v>
      </c>
      <c r="X169" s="15">
        <f>__Anonymous_Sheet_DB__0[[#This Row],[Date / Time]]</f>
        <v>0</v>
      </c>
      <c r="Y169" s="4">
        <f t="shared" si="23"/>
        <v>1900</v>
      </c>
      <c r="Z169" s="4">
        <f t="shared" si="24"/>
        <v>0</v>
      </c>
    </row>
    <row r="170" spans="23:26">
      <c r="W170" s="4">
        <f>MONTH(__Anonymous_Sheet_DB__0[[#This Row],[Date / Time]])</f>
        <v>1</v>
      </c>
      <c r="X170" s="15">
        <f>__Anonymous_Sheet_DB__0[[#This Row],[Date / Time]]</f>
        <v>0</v>
      </c>
      <c r="Y170" s="4">
        <f t="shared" si="23"/>
        <v>1900</v>
      </c>
      <c r="Z170" s="4">
        <f t="shared" si="24"/>
        <v>0</v>
      </c>
    </row>
    <row r="171" spans="23:26">
      <c r="W171" s="4">
        <f>MONTH(__Anonymous_Sheet_DB__0[[#This Row],[Date / Time]])</f>
        <v>1</v>
      </c>
      <c r="X171" s="15">
        <f>__Anonymous_Sheet_DB__0[[#This Row],[Date / Time]]</f>
        <v>0</v>
      </c>
      <c r="Y171" s="4">
        <f t="shared" si="23"/>
        <v>1900</v>
      </c>
      <c r="Z171" s="4">
        <f t="shared" si="24"/>
        <v>0</v>
      </c>
    </row>
    <row r="172" spans="23:26">
      <c r="W172" s="4">
        <f>MONTH(__Anonymous_Sheet_DB__0[[#This Row],[Date / Time]])</f>
        <v>1</v>
      </c>
      <c r="X172" s="15">
        <f>__Anonymous_Sheet_DB__0[[#This Row],[Date / Time]]</f>
        <v>0</v>
      </c>
      <c r="Y172" s="4">
        <f t="shared" si="23"/>
        <v>1900</v>
      </c>
      <c r="Z172" s="4">
        <f t="shared" si="24"/>
        <v>0</v>
      </c>
    </row>
    <row r="173" spans="23:26">
      <c r="W173" s="4">
        <f>MONTH(__Anonymous_Sheet_DB__0[[#This Row],[Date / Time]])</f>
        <v>1</v>
      </c>
      <c r="X173" s="15">
        <f>__Anonymous_Sheet_DB__0[[#This Row],[Date / Time]]</f>
        <v>0</v>
      </c>
      <c r="Y173" s="4">
        <f t="shared" si="23"/>
        <v>1900</v>
      </c>
      <c r="Z173" s="4">
        <f t="shared" si="24"/>
        <v>0</v>
      </c>
    </row>
    <row r="174" spans="23:26">
      <c r="W174" s="4">
        <f>MONTH(__Anonymous_Sheet_DB__0[[#This Row],[Date / Time]])</f>
        <v>1</v>
      </c>
      <c r="X174" s="15">
        <f>__Anonymous_Sheet_DB__0[[#This Row],[Date / Time]]</f>
        <v>0</v>
      </c>
      <c r="Y174" s="4">
        <f t="shared" si="23"/>
        <v>1900</v>
      </c>
      <c r="Z174" s="4">
        <f t="shared" si="24"/>
        <v>0</v>
      </c>
    </row>
    <row r="175" spans="23:26">
      <c r="W175" s="4">
        <f>MONTH(__Anonymous_Sheet_DB__0[[#This Row],[Date / Time]])</f>
        <v>1</v>
      </c>
      <c r="X175" s="15">
        <f>__Anonymous_Sheet_DB__0[[#This Row],[Date / Time]]</f>
        <v>0</v>
      </c>
      <c r="Y175" s="4">
        <f t="shared" si="23"/>
        <v>1900</v>
      </c>
      <c r="Z175" s="4">
        <f t="shared" si="24"/>
        <v>0</v>
      </c>
    </row>
    <row r="176" spans="23:26">
      <c r="W176" s="4">
        <f>MONTH(__Anonymous_Sheet_DB__0[[#This Row],[Date / Time]])</f>
        <v>1</v>
      </c>
      <c r="X176" s="15">
        <f>__Anonymous_Sheet_DB__0[[#This Row],[Date / Time]]</f>
        <v>0</v>
      </c>
      <c r="Y176" s="4">
        <f t="shared" si="23"/>
        <v>1900</v>
      </c>
      <c r="Z176" s="4">
        <f t="shared" si="24"/>
        <v>0</v>
      </c>
    </row>
    <row r="177" spans="23:26">
      <c r="W177" s="4">
        <f>MONTH(__Anonymous_Sheet_DB__0[[#This Row],[Date / Time]])</f>
        <v>1</v>
      </c>
      <c r="X177" s="15">
        <f>__Anonymous_Sheet_DB__0[[#This Row],[Date / Time]]</f>
        <v>0</v>
      </c>
      <c r="Y177" s="4">
        <f t="shared" si="23"/>
        <v>1900</v>
      </c>
      <c r="Z177" s="4">
        <f t="shared" si="24"/>
        <v>0</v>
      </c>
    </row>
    <row r="178" spans="23:26">
      <c r="W178" s="4">
        <f>MONTH(__Anonymous_Sheet_DB__0[[#This Row],[Date / Time]])</f>
        <v>1</v>
      </c>
      <c r="X178" s="15">
        <f>__Anonymous_Sheet_DB__0[[#This Row],[Date / Time]]</f>
        <v>0</v>
      </c>
      <c r="Y178" s="4">
        <f t="shared" si="23"/>
        <v>1900</v>
      </c>
      <c r="Z178" s="4">
        <f t="shared" si="24"/>
        <v>0</v>
      </c>
    </row>
    <row r="179" spans="23:26">
      <c r="W179" s="4">
        <f>MONTH(__Anonymous_Sheet_DB__0[[#This Row],[Date / Time]])</f>
        <v>1</v>
      </c>
      <c r="X179" s="15">
        <f>__Anonymous_Sheet_DB__0[[#This Row],[Date / Time]]</f>
        <v>0</v>
      </c>
      <c r="Y179" s="4">
        <f t="shared" si="23"/>
        <v>1900</v>
      </c>
      <c r="Z179" s="4">
        <f t="shared" si="24"/>
        <v>0</v>
      </c>
    </row>
    <row r="180" spans="23:26">
      <c r="W180" s="4">
        <f>MONTH(__Anonymous_Sheet_DB__0[[#This Row],[Date / Time]])</f>
        <v>1</v>
      </c>
      <c r="X180" s="15">
        <f>__Anonymous_Sheet_DB__0[[#This Row],[Date / Time]]</f>
        <v>0</v>
      </c>
      <c r="Y180" s="4">
        <f t="shared" si="23"/>
        <v>1900</v>
      </c>
      <c r="Z180" s="4">
        <f t="shared" si="24"/>
        <v>0</v>
      </c>
    </row>
    <row r="181" spans="23:26">
      <c r="W181" s="4">
        <f>MONTH(__Anonymous_Sheet_DB__0[[#This Row],[Date / Time]])</f>
        <v>1</v>
      </c>
      <c r="X181" s="15">
        <f>__Anonymous_Sheet_DB__0[[#This Row],[Date / Time]]</f>
        <v>0</v>
      </c>
      <c r="Y181" s="4">
        <f t="shared" si="23"/>
        <v>1900</v>
      </c>
      <c r="Z181" s="4">
        <f t="shared" si="24"/>
        <v>0</v>
      </c>
    </row>
    <row r="182" spans="23:26">
      <c r="W182" s="4">
        <f>MONTH(__Anonymous_Sheet_DB__0[[#This Row],[Date / Time]])</f>
        <v>1</v>
      </c>
      <c r="X182" s="15">
        <f>__Anonymous_Sheet_DB__0[[#This Row],[Date / Time]]</f>
        <v>0</v>
      </c>
      <c r="Y182" s="4">
        <f t="shared" si="23"/>
        <v>1900</v>
      </c>
      <c r="Z182" s="4">
        <f t="shared" si="24"/>
        <v>0</v>
      </c>
    </row>
    <row r="183" spans="23:26">
      <c r="W183" s="4">
        <f>MONTH(__Anonymous_Sheet_DB__0[[#This Row],[Date / Time]])</f>
        <v>1</v>
      </c>
      <c r="X183" s="15">
        <f>__Anonymous_Sheet_DB__0[[#This Row],[Date / Time]]</f>
        <v>0</v>
      </c>
      <c r="Y183" s="4">
        <f t="shared" si="23"/>
        <v>1900</v>
      </c>
      <c r="Z183" s="4">
        <f t="shared" si="24"/>
        <v>0</v>
      </c>
    </row>
    <row r="184" spans="23:26">
      <c r="W184" s="4">
        <f>MONTH(__Anonymous_Sheet_DB__0[[#This Row],[Date / Time]])</f>
        <v>1</v>
      </c>
      <c r="X184" s="15">
        <f>__Anonymous_Sheet_DB__0[[#This Row],[Date / Time]]</f>
        <v>0</v>
      </c>
      <c r="Y184" s="4">
        <f t="shared" si="23"/>
        <v>1900</v>
      </c>
      <c r="Z184" s="4">
        <f t="shared" si="24"/>
        <v>0</v>
      </c>
    </row>
    <row r="185" spans="23:26">
      <c r="W185" s="4">
        <f>MONTH(__Anonymous_Sheet_DB__0[[#This Row],[Date / Time]])</f>
        <v>1</v>
      </c>
      <c r="X185" s="15">
        <f>__Anonymous_Sheet_DB__0[[#This Row],[Date / Time]]</f>
        <v>0</v>
      </c>
      <c r="Y185" s="4">
        <f t="shared" si="23"/>
        <v>1900</v>
      </c>
      <c r="Z185" s="4">
        <f t="shared" si="24"/>
        <v>0</v>
      </c>
    </row>
    <row r="186" spans="23:26">
      <c r="W186" s="4">
        <f>MONTH(__Anonymous_Sheet_DB__0[[#This Row],[Date / Time]])</f>
        <v>1</v>
      </c>
      <c r="X186" s="15">
        <f>__Anonymous_Sheet_DB__0[[#This Row],[Date / Time]]</f>
        <v>0</v>
      </c>
      <c r="Y186" s="4">
        <f t="shared" si="23"/>
        <v>1900</v>
      </c>
      <c r="Z186" s="4">
        <f t="shared" si="24"/>
        <v>0</v>
      </c>
    </row>
    <row r="187" spans="23:26">
      <c r="W187" s="4">
        <f>MONTH(__Anonymous_Sheet_DB__0[[#This Row],[Date / Time]])</f>
        <v>1</v>
      </c>
      <c r="X187" s="15">
        <f>__Anonymous_Sheet_DB__0[[#This Row],[Date / Time]]</f>
        <v>0</v>
      </c>
      <c r="Y187" s="4">
        <f t="shared" si="23"/>
        <v>1900</v>
      </c>
      <c r="Z187" s="4">
        <f t="shared" si="24"/>
        <v>0</v>
      </c>
    </row>
    <row r="188" spans="23:26">
      <c r="W188" s="4">
        <f>MONTH(__Anonymous_Sheet_DB__0[[#This Row],[Date / Time]])</f>
        <v>1</v>
      </c>
      <c r="X188" s="15">
        <f>__Anonymous_Sheet_DB__0[[#This Row],[Date / Time]]</f>
        <v>0</v>
      </c>
      <c r="Y188" s="4">
        <f t="shared" si="23"/>
        <v>1900</v>
      </c>
      <c r="Z188" s="4">
        <f t="shared" si="24"/>
        <v>0</v>
      </c>
    </row>
    <row r="189" spans="23:26">
      <c r="W189" s="4">
        <f>MONTH(__Anonymous_Sheet_DB__0[[#This Row],[Date / Time]])</f>
        <v>1</v>
      </c>
      <c r="X189" s="15">
        <f>__Anonymous_Sheet_DB__0[[#This Row],[Date / Time]]</f>
        <v>0</v>
      </c>
      <c r="Y189" s="4">
        <f t="shared" si="23"/>
        <v>1900</v>
      </c>
      <c r="Z189" s="4">
        <f t="shared" si="24"/>
        <v>0</v>
      </c>
    </row>
    <row r="190" spans="23:26">
      <c r="W190" s="4">
        <f>MONTH(__Anonymous_Sheet_DB__0[[#This Row],[Date / Time]])</f>
        <v>1</v>
      </c>
      <c r="X190" s="15">
        <f>__Anonymous_Sheet_DB__0[[#This Row],[Date / Time]]</f>
        <v>0</v>
      </c>
      <c r="Y190" s="4">
        <f t="shared" si="23"/>
        <v>1900</v>
      </c>
      <c r="Z190" s="4">
        <f t="shared" si="24"/>
        <v>0</v>
      </c>
    </row>
    <row r="191" spans="23:26">
      <c r="W191" s="4">
        <f>MONTH(__Anonymous_Sheet_DB__0[[#This Row],[Date / Time]])</f>
        <v>1</v>
      </c>
      <c r="X191" s="15">
        <f>__Anonymous_Sheet_DB__0[[#This Row],[Date / Time]]</f>
        <v>0</v>
      </c>
      <c r="Y191" s="4">
        <f t="shared" si="23"/>
        <v>1900</v>
      </c>
      <c r="Z191" s="4">
        <f t="shared" si="24"/>
        <v>0</v>
      </c>
    </row>
    <row r="192" spans="23:26">
      <c r="W192" s="4">
        <f>MONTH(__Anonymous_Sheet_DB__0[[#This Row],[Date / Time]])</f>
        <v>1</v>
      </c>
      <c r="X192" s="15">
        <f>__Anonymous_Sheet_DB__0[[#This Row],[Date / Time]]</f>
        <v>0</v>
      </c>
      <c r="Y192" s="4">
        <f t="shared" si="23"/>
        <v>1900</v>
      </c>
      <c r="Z192" s="4">
        <f t="shared" si="24"/>
        <v>0</v>
      </c>
    </row>
    <row r="193" spans="23:26">
      <c r="W193" s="4">
        <f>MONTH(__Anonymous_Sheet_DB__0[[#This Row],[Date / Time]])</f>
        <v>1</v>
      </c>
      <c r="X193" s="15">
        <f>__Anonymous_Sheet_DB__0[[#This Row],[Date / Time]]</f>
        <v>0</v>
      </c>
      <c r="Y193" s="4">
        <f t="shared" si="23"/>
        <v>1900</v>
      </c>
      <c r="Z193" s="4">
        <f t="shared" si="24"/>
        <v>0</v>
      </c>
    </row>
    <row r="194" spans="23:26">
      <c r="W194" s="4">
        <f>MONTH(__Anonymous_Sheet_DB__0[[#This Row],[Date / Time]])</f>
        <v>1</v>
      </c>
      <c r="X194" s="15">
        <f>__Anonymous_Sheet_DB__0[[#This Row],[Date / Time]]</f>
        <v>0</v>
      </c>
      <c r="Y194" s="4">
        <f t="shared" ref="Y194:Y257" si="25">YEAR(C194)</f>
        <v>1900</v>
      </c>
      <c r="Z194" s="4">
        <f t="shared" ref="Z194:Z257" si="26">WEEKNUM(C194,1)</f>
        <v>0</v>
      </c>
    </row>
    <row r="195" spans="23:26">
      <c r="W195" s="4">
        <f>MONTH(__Anonymous_Sheet_DB__0[[#This Row],[Date / Time]])</f>
        <v>1</v>
      </c>
      <c r="X195" s="15">
        <f>__Anonymous_Sheet_DB__0[[#This Row],[Date / Time]]</f>
        <v>0</v>
      </c>
      <c r="Y195" s="4">
        <f t="shared" si="25"/>
        <v>1900</v>
      </c>
      <c r="Z195" s="4">
        <f t="shared" si="26"/>
        <v>0</v>
      </c>
    </row>
    <row r="196" spans="23:26">
      <c r="W196" s="4">
        <f>MONTH(__Anonymous_Sheet_DB__0[[#This Row],[Date / Time]])</f>
        <v>1</v>
      </c>
      <c r="X196" s="15">
        <f>__Anonymous_Sheet_DB__0[[#This Row],[Date / Time]]</f>
        <v>0</v>
      </c>
      <c r="Y196" s="4">
        <f t="shared" si="25"/>
        <v>1900</v>
      </c>
      <c r="Z196" s="4">
        <f t="shared" si="26"/>
        <v>0</v>
      </c>
    </row>
    <row r="197" spans="23:26">
      <c r="W197" s="4">
        <f>MONTH(__Anonymous_Sheet_DB__0[[#This Row],[Date / Time]])</f>
        <v>1</v>
      </c>
      <c r="X197" s="15">
        <f>__Anonymous_Sheet_DB__0[[#This Row],[Date / Time]]</f>
        <v>0</v>
      </c>
      <c r="Y197" s="4">
        <f t="shared" si="25"/>
        <v>1900</v>
      </c>
      <c r="Z197" s="4">
        <f t="shared" si="26"/>
        <v>0</v>
      </c>
    </row>
    <row r="198" spans="23:26">
      <c r="W198" s="4">
        <f>MONTH(__Anonymous_Sheet_DB__0[[#This Row],[Date / Time]])</f>
        <v>1</v>
      </c>
      <c r="X198" s="15">
        <f>__Anonymous_Sheet_DB__0[[#This Row],[Date / Time]]</f>
        <v>0</v>
      </c>
      <c r="Y198" s="4">
        <f t="shared" si="25"/>
        <v>1900</v>
      </c>
      <c r="Z198" s="4">
        <f t="shared" si="26"/>
        <v>0</v>
      </c>
    </row>
    <row r="199" spans="23:26">
      <c r="W199" s="4">
        <f>MONTH(__Anonymous_Sheet_DB__0[[#This Row],[Date / Time]])</f>
        <v>1</v>
      </c>
      <c r="X199" s="15">
        <f>__Anonymous_Sheet_DB__0[[#This Row],[Date / Time]]</f>
        <v>0</v>
      </c>
      <c r="Y199" s="4">
        <f t="shared" si="25"/>
        <v>1900</v>
      </c>
      <c r="Z199" s="4">
        <f t="shared" si="26"/>
        <v>0</v>
      </c>
    </row>
    <row r="200" spans="23:26">
      <c r="W200" s="4">
        <f>MONTH(__Anonymous_Sheet_DB__0[[#This Row],[Date / Time]])</f>
        <v>1</v>
      </c>
      <c r="X200" s="15">
        <f>__Anonymous_Sheet_DB__0[[#This Row],[Date / Time]]</f>
        <v>0</v>
      </c>
      <c r="Y200" s="4">
        <f t="shared" si="25"/>
        <v>1900</v>
      </c>
      <c r="Z200" s="4">
        <f t="shared" si="26"/>
        <v>0</v>
      </c>
    </row>
    <row r="201" spans="23:26">
      <c r="W201" s="4">
        <f>MONTH(__Anonymous_Sheet_DB__0[[#This Row],[Date / Time]])</f>
        <v>1</v>
      </c>
      <c r="X201" s="15">
        <f>__Anonymous_Sheet_DB__0[[#This Row],[Date / Time]]</f>
        <v>0</v>
      </c>
      <c r="Y201" s="4">
        <f t="shared" si="25"/>
        <v>1900</v>
      </c>
      <c r="Z201" s="4">
        <f t="shared" si="26"/>
        <v>0</v>
      </c>
    </row>
    <row r="202" spans="23:26">
      <c r="W202" s="4">
        <f>MONTH(__Anonymous_Sheet_DB__0[[#This Row],[Date / Time]])</f>
        <v>1</v>
      </c>
      <c r="X202" s="15">
        <f>__Anonymous_Sheet_DB__0[[#This Row],[Date / Time]]</f>
        <v>0</v>
      </c>
      <c r="Y202" s="4">
        <f t="shared" si="25"/>
        <v>1900</v>
      </c>
      <c r="Z202" s="4">
        <f t="shared" si="26"/>
        <v>0</v>
      </c>
    </row>
    <row r="203" spans="23:26">
      <c r="W203" s="4">
        <f>MONTH(__Anonymous_Sheet_DB__0[[#This Row],[Date / Time]])</f>
        <v>1</v>
      </c>
      <c r="X203" s="15">
        <f>__Anonymous_Sheet_DB__0[[#This Row],[Date / Time]]</f>
        <v>0</v>
      </c>
      <c r="Y203" s="4">
        <f t="shared" si="25"/>
        <v>1900</v>
      </c>
      <c r="Z203" s="4">
        <f t="shared" si="26"/>
        <v>0</v>
      </c>
    </row>
    <row r="204" spans="23:26">
      <c r="W204" s="4">
        <f>MONTH(__Anonymous_Sheet_DB__0[[#This Row],[Date / Time]])</f>
        <v>1</v>
      </c>
      <c r="X204" s="15">
        <f>__Anonymous_Sheet_DB__0[[#This Row],[Date / Time]]</f>
        <v>0</v>
      </c>
      <c r="Y204" s="4">
        <f t="shared" si="25"/>
        <v>1900</v>
      </c>
      <c r="Z204" s="4">
        <f t="shared" si="26"/>
        <v>0</v>
      </c>
    </row>
    <row r="205" spans="23:26">
      <c r="W205" s="4">
        <f>MONTH(__Anonymous_Sheet_DB__0[[#This Row],[Date / Time]])</f>
        <v>1</v>
      </c>
      <c r="X205" s="15">
        <f>__Anonymous_Sheet_DB__0[[#This Row],[Date / Time]]</f>
        <v>0</v>
      </c>
      <c r="Y205" s="4">
        <f t="shared" si="25"/>
        <v>1900</v>
      </c>
      <c r="Z205" s="4">
        <f t="shared" si="26"/>
        <v>0</v>
      </c>
    </row>
    <row r="206" spans="23:26">
      <c r="W206" s="4">
        <f>MONTH(__Anonymous_Sheet_DB__0[[#This Row],[Date / Time]])</f>
        <v>1</v>
      </c>
      <c r="X206" s="15">
        <f>__Anonymous_Sheet_DB__0[[#This Row],[Date / Time]]</f>
        <v>0</v>
      </c>
      <c r="Y206" s="4">
        <f t="shared" si="25"/>
        <v>1900</v>
      </c>
      <c r="Z206" s="4">
        <f t="shared" si="26"/>
        <v>0</v>
      </c>
    </row>
    <row r="207" spans="23:26">
      <c r="W207" s="4">
        <f>MONTH(__Anonymous_Sheet_DB__0[[#This Row],[Date / Time]])</f>
        <v>1</v>
      </c>
      <c r="X207" s="15">
        <f>__Anonymous_Sheet_DB__0[[#This Row],[Date / Time]]</f>
        <v>0</v>
      </c>
      <c r="Y207" s="4">
        <f t="shared" si="25"/>
        <v>1900</v>
      </c>
      <c r="Z207" s="4">
        <f t="shared" si="26"/>
        <v>0</v>
      </c>
    </row>
    <row r="208" spans="23:26">
      <c r="W208" s="4">
        <f>MONTH(__Anonymous_Sheet_DB__0[[#This Row],[Date / Time]])</f>
        <v>1</v>
      </c>
      <c r="X208" s="15">
        <f>__Anonymous_Sheet_DB__0[[#This Row],[Date / Time]]</f>
        <v>0</v>
      </c>
      <c r="Y208" s="4">
        <f t="shared" si="25"/>
        <v>1900</v>
      </c>
      <c r="Z208" s="4">
        <f t="shared" si="26"/>
        <v>0</v>
      </c>
    </row>
    <row r="209" spans="23:26">
      <c r="W209" s="4">
        <f>MONTH(__Anonymous_Sheet_DB__0[[#This Row],[Date / Time]])</f>
        <v>1</v>
      </c>
      <c r="X209" s="15">
        <f>__Anonymous_Sheet_DB__0[[#This Row],[Date / Time]]</f>
        <v>0</v>
      </c>
      <c r="Y209" s="4">
        <f t="shared" si="25"/>
        <v>1900</v>
      </c>
      <c r="Z209" s="4">
        <f t="shared" si="26"/>
        <v>0</v>
      </c>
    </row>
    <row r="210" spans="23:26">
      <c r="W210" s="4">
        <f>MONTH(__Anonymous_Sheet_DB__0[[#This Row],[Date / Time]])</f>
        <v>1</v>
      </c>
      <c r="X210" s="15">
        <f>__Anonymous_Sheet_DB__0[[#This Row],[Date / Time]]</f>
        <v>0</v>
      </c>
      <c r="Y210" s="4">
        <f t="shared" si="25"/>
        <v>1900</v>
      </c>
      <c r="Z210" s="4">
        <f t="shared" si="26"/>
        <v>0</v>
      </c>
    </row>
    <row r="211" spans="23:26">
      <c r="W211" s="4">
        <f>MONTH(__Anonymous_Sheet_DB__0[[#This Row],[Date / Time]])</f>
        <v>1</v>
      </c>
      <c r="X211" s="15">
        <f>__Anonymous_Sheet_DB__0[[#This Row],[Date / Time]]</f>
        <v>0</v>
      </c>
      <c r="Y211" s="4">
        <f t="shared" si="25"/>
        <v>1900</v>
      </c>
      <c r="Z211" s="4">
        <f t="shared" si="26"/>
        <v>0</v>
      </c>
    </row>
    <row r="212" spans="23:26">
      <c r="W212" s="4">
        <f>MONTH(__Anonymous_Sheet_DB__0[[#This Row],[Date / Time]])</f>
        <v>1</v>
      </c>
      <c r="X212" s="15">
        <f>__Anonymous_Sheet_DB__0[[#This Row],[Date / Time]]</f>
        <v>0</v>
      </c>
      <c r="Y212" s="4">
        <f t="shared" si="25"/>
        <v>1900</v>
      </c>
      <c r="Z212" s="4">
        <f t="shared" si="26"/>
        <v>0</v>
      </c>
    </row>
    <row r="213" spans="23:26">
      <c r="W213" s="4">
        <f>MONTH(__Anonymous_Sheet_DB__0[[#This Row],[Date / Time]])</f>
        <v>1</v>
      </c>
      <c r="X213" s="15">
        <f>__Anonymous_Sheet_DB__0[[#This Row],[Date / Time]]</f>
        <v>0</v>
      </c>
      <c r="Y213" s="4">
        <f t="shared" si="25"/>
        <v>1900</v>
      </c>
      <c r="Z213" s="4">
        <f t="shared" si="26"/>
        <v>0</v>
      </c>
    </row>
    <row r="214" spans="23:26">
      <c r="W214" s="4">
        <f>MONTH(__Anonymous_Sheet_DB__0[[#This Row],[Date / Time]])</f>
        <v>1</v>
      </c>
      <c r="X214" s="15">
        <f>__Anonymous_Sheet_DB__0[[#This Row],[Date / Time]]</f>
        <v>0</v>
      </c>
      <c r="Y214" s="4">
        <f t="shared" si="25"/>
        <v>1900</v>
      </c>
      <c r="Z214" s="4">
        <f t="shared" si="26"/>
        <v>0</v>
      </c>
    </row>
    <row r="215" spans="23:26">
      <c r="W215" s="4">
        <f>MONTH(__Anonymous_Sheet_DB__0[[#This Row],[Date / Time]])</f>
        <v>1</v>
      </c>
      <c r="X215" s="15">
        <f>__Anonymous_Sheet_DB__0[[#This Row],[Date / Time]]</f>
        <v>0</v>
      </c>
      <c r="Y215" s="4">
        <f t="shared" si="25"/>
        <v>1900</v>
      </c>
      <c r="Z215" s="4">
        <f t="shared" si="26"/>
        <v>0</v>
      </c>
    </row>
    <row r="216" spans="23:26">
      <c r="W216" s="4">
        <f>MONTH(__Anonymous_Sheet_DB__0[[#This Row],[Date / Time]])</f>
        <v>1</v>
      </c>
      <c r="X216" s="15">
        <f>__Anonymous_Sheet_DB__0[[#This Row],[Date / Time]]</f>
        <v>0</v>
      </c>
      <c r="Y216" s="4">
        <f t="shared" si="25"/>
        <v>1900</v>
      </c>
      <c r="Z216" s="4">
        <f t="shared" si="26"/>
        <v>0</v>
      </c>
    </row>
    <row r="217" spans="23:26">
      <c r="W217" s="4">
        <f>MONTH(__Anonymous_Sheet_DB__0[[#This Row],[Date / Time]])</f>
        <v>1</v>
      </c>
      <c r="X217" s="15">
        <f>__Anonymous_Sheet_DB__0[[#This Row],[Date / Time]]</f>
        <v>0</v>
      </c>
      <c r="Y217" s="4">
        <f t="shared" si="25"/>
        <v>1900</v>
      </c>
      <c r="Z217" s="4">
        <f t="shared" si="26"/>
        <v>0</v>
      </c>
    </row>
    <row r="218" spans="23:26">
      <c r="W218" s="4">
        <f>MONTH(__Anonymous_Sheet_DB__0[[#This Row],[Date / Time]])</f>
        <v>1</v>
      </c>
      <c r="X218" s="15">
        <f>__Anonymous_Sheet_DB__0[[#This Row],[Date / Time]]</f>
        <v>0</v>
      </c>
      <c r="Y218" s="4">
        <f t="shared" si="25"/>
        <v>1900</v>
      </c>
      <c r="Z218" s="4">
        <f t="shared" si="26"/>
        <v>0</v>
      </c>
    </row>
    <row r="219" spans="23:26">
      <c r="W219" s="4">
        <f>MONTH(__Anonymous_Sheet_DB__0[[#This Row],[Date / Time]])</f>
        <v>1</v>
      </c>
      <c r="X219" s="15">
        <f>__Anonymous_Sheet_DB__0[[#This Row],[Date / Time]]</f>
        <v>0</v>
      </c>
      <c r="Y219" s="4">
        <f t="shared" si="25"/>
        <v>1900</v>
      </c>
      <c r="Z219" s="4">
        <f t="shared" si="26"/>
        <v>0</v>
      </c>
    </row>
    <row r="220" spans="23:26">
      <c r="W220" s="4">
        <f>MONTH(__Anonymous_Sheet_DB__0[[#This Row],[Date / Time]])</f>
        <v>1</v>
      </c>
      <c r="X220" s="15">
        <f>__Anonymous_Sheet_DB__0[[#This Row],[Date / Time]]</f>
        <v>0</v>
      </c>
      <c r="Y220" s="4">
        <f t="shared" si="25"/>
        <v>1900</v>
      </c>
      <c r="Z220" s="4">
        <f t="shared" si="26"/>
        <v>0</v>
      </c>
    </row>
    <row r="221" spans="23:26">
      <c r="W221" s="4">
        <f>MONTH(__Anonymous_Sheet_DB__0[[#This Row],[Date / Time]])</f>
        <v>1</v>
      </c>
      <c r="X221" s="15">
        <f>__Anonymous_Sheet_DB__0[[#This Row],[Date / Time]]</f>
        <v>0</v>
      </c>
      <c r="Y221" s="4">
        <f t="shared" si="25"/>
        <v>1900</v>
      </c>
      <c r="Z221" s="4">
        <f t="shared" si="26"/>
        <v>0</v>
      </c>
    </row>
    <row r="222" spans="23:26">
      <c r="W222" s="4">
        <f>MONTH(__Anonymous_Sheet_DB__0[[#This Row],[Date / Time]])</f>
        <v>1</v>
      </c>
      <c r="X222" s="15">
        <f>__Anonymous_Sheet_DB__0[[#This Row],[Date / Time]]</f>
        <v>0</v>
      </c>
      <c r="Y222" s="4">
        <f t="shared" si="25"/>
        <v>1900</v>
      </c>
      <c r="Z222" s="4">
        <f t="shared" si="26"/>
        <v>0</v>
      </c>
    </row>
    <row r="223" spans="23:26">
      <c r="W223" s="4">
        <f>MONTH(__Anonymous_Sheet_DB__0[[#This Row],[Date / Time]])</f>
        <v>1</v>
      </c>
      <c r="X223" s="15">
        <f>__Anonymous_Sheet_DB__0[[#This Row],[Date / Time]]</f>
        <v>0</v>
      </c>
      <c r="Y223" s="4">
        <f t="shared" si="25"/>
        <v>1900</v>
      </c>
      <c r="Z223" s="4">
        <f t="shared" si="26"/>
        <v>0</v>
      </c>
    </row>
    <row r="224" spans="23:26">
      <c r="W224" s="4">
        <f>MONTH(__Anonymous_Sheet_DB__0[[#This Row],[Date / Time]])</f>
        <v>1</v>
      </c>
      <c r="X224" s="15">
        <f>__Anonymous_Sheet_DB__0[[#This Row],[Date / Time]]</f>
        <v>0</v>
      </c>
      <c r="Y224" s="4">
        <f t="shared" si="25"/>
        <v>1900</v>
      </c>
      <c r="Z224" s="4">
        <f t="shared" si="26"/>
        <v>0</v>
      </c>
    </row>
    <row r="225" spans="23:26">
      <c r="W225" s="4">
        <f>MONTH(__Anonymous_Sheet_DB__0[[#This Row],[Date / Time]])</f>
        <v>1</v>
      </c>
      <c r="X225" s="15">
        <f>__Anonymous_Sheet_DB__0[[#This Row],[Date / Time]]</f>
        <v>0</v>
      </c>
      <c r="Y225" s="4">
        <f t="shared" si="25"/>
        <v>1900</v>
      </c>
      <c r="Z225" s="4">
        <f t="shared" si="26"/>
        <v>0</v>
      </c>
    </row>
    <row r="226" spans="23:26">
      <c r="W226" s="4">
        <f>MONTH(__Anonymous_Sheet_DB__0[[#This Row],[Date / Time]])</f>
        <v>1</v>
      </c>
      <c r="X226" s="15">
        <f>__Anonymous_Sheet_DB__0[[#This Row],[Date / Time]]</f>
        <v>0</v>
      </c>
      <c r="Y226" s="4">
        <f t="shared" si="25"/>
        <v>1900</v>
      </c>
      <c r="Z226" s="4">
        <f t="shared" si="26"/>
        <v>0</v>
      </c>
    </row>
    <row r="227" spans="23:26">
      <c r="W227" s="4">
        <f>MONTH(__Anonymous_Sheet_DB__0[[#This Row],[Date / Time]])</f>
        <v>1</v>
      </c>
      <c r="X227" s="15">
        <f>__Anonymous_Sheet_DB__0[[#This Row],[Date / Time]]</f>
        <v>0</v>
      </c>
      <c r="Y227" s="4">
        <f t="shared" si="25"/>
        <v>1900</v>
      </c>
      <c r="Z227" s="4">
        <f t="shared" si="26"/>
        <v>0</v>
      </c>
    </row>
    <row r="228" spans="23:26">
      <c r="W228" s="4">
        <f>MONTH(__Anonymous_Sheet_DB__0[[#This Row],[Date / Time]])</f>
        <v>1</v>
      </c>
      <c r="X228" s="15">
        <f>__Anonymous_Sheet_DB__0[[#This Row],[Date / Time]]</f>
        <v>0</v>
      </c>
      <c r="Y228" s="4">
        <f t="shared" si="25"/>
        <v>1900</v>
      </c>
      <c r="Z228" s="4">
        <f t="shared" si="26"/>
        <v>0</v>
      </c>
    </row>
    <row r="229" spans="23:26">
      <c r="W229" s="4">
        <f>MONTH(__Anonymous_Sheet_DB__0[[#This Row],[Date / Time]])</f>
        <v>1</v>
      </c>
      <c r="X229" s="15">
        <f>__Anonymous_Sheet_DB__0[[#This Row],[Date / Time]]</f>
        <v>0</v>
      </c>
      <c r="Y229" s="4">
        <f t="shared" si="25"/>
        <v>1900</v>
      </c>
      <c r="Z229" s="4">
        <f t="shared" si="26"/>
        <v>0</v>
      </c>
    </row>
    <row r="230" spans="23:26">
      <c r="W230" s="4">
        <f>MONTH(__Anonymous_Sheet_DB__0[[#This Row],[Date / Time]])</f>
        <v>1</v>
      </c>
      <c r="X230" s="15">
        <f>__Anonymous_Sheet_DB__0[[#This Row],[Date / Time]]</f>
        <v>0</v>
      </c>
      <c r="Y230" s="4">
        <f t="shared" si="25"/>
        <v>1900</v>
      </c>
      <c r="Z230" s="4">
        <f t="shared" si="26"/>
        <v>0</v>
      </c>
    </row>
    <row r="231" spans="23:26">
      <c r="W231" s="4">
        <f>MONTH(__Anonymous_Sheet_DB__0[[#This Row],[Date / Time]])</f>
        <v>1</v>
      </c>
      <c r="X231" s="15">
        <f>__Anonymous_Sheet_DB__0[[#This Row],[Date / Time]]</f>
        <v>0</v>
      </c>
      <c r="Y231" s="4">
        <f t="shared" si="25"/>
        <v>1900</v>
      </c>
      <c r="Z231" s="4">
        <f t="shared" si="26"/>
        <v>0</v>
      </c>
    </row>
    <row r="232" spans="23:26">
      <c r="W232" s="4">
        <f>MONTH(__Anonymous_Sheet_DB__0[[#This Row],[Date / Time]])</f>
        <v>1</v>
      </c>
      <c r="X232" s="15">
        <f>__Anonymous_Sheet_DB__0[[#This Row],[Date / Time]]</f>
        <v>0</v>
      </c>
      <c r="Y232" s="4">
        <f t="shared" si="25"/>
        <v>1900</v>
      </c>
      <c r="Z232" s="4">
        <f t="shared" si="26"/>
        <v>0</v>
      </c>
    </row>
    <row r="233" spans="23:26">
      <c r="W233" s="4">
        <f>MONTH(__Anonymous_Sheet_DB__0[[#This Row],[Date / Time]])</f>
        <v>1</v>
      </c>
      <c r="X233" s="15">
        <f>__Anonymous_Sheet_DB__0[[#This Row],[Date / Time]]</f>
        <v>0</v>
      </c>
      <c r="Y233" s="4">
        <f t="shared" si="25"/>
        <v>1900</v>
      </c>
      <c r="Z233" s="4">
        <f t="shared" si="26"/>
        <v>0</v>
      </c>
    </row>
    <row r="234" spans="23:26">
      <c r="W234" s="4">
        <f>MONTH(__Anonymous_Sheet_DB__0[[#This Row],[Date / Time]])</f>
        <v>1</v>
      </c>
      <c r="X234" s="15">
        <f>__Anonymous_Sheet_DB__0[[#This Row],[Date / Time]]</f>
        <v>0</v>
      </c>
      <c r="Y234" s="4">
        <f t="shared" si="25"/>
        <v>1900</v>
      </c>
      <c r="Z234" s="4">
        <f t="shared" si="26"/>
        <v>0</v>
      </c>
    </row>
    <row r="235" spans="23:26">
      <c r="W235" s="4">
        <f>MONTH(__Anonymous_Sheet_DB__0[[#This Row],[Date / Time]])</f>
        <v>1</v>
      </c>
      <c r="X235" s="15">
        <f>__Anonymous_Sheet_DB__0[[#This Row],[Date / Time]]</f>
        <v>0</v>
      </c>
      <c r="Y235" s="4">
        <f t="shared" si="25"/>
        <v>1900</v>
      </c>
      <c r="Z235" s="4">
        <f t="shared" si="26"/>
        <v>0</v>
      </c>
    </row>
    <row r="236" spans="23:26">
      <c r="W236" s="4">
        <f>MONTH(__Anonymous_Sheet_DB__0[[#This Row],[Date / Time]])</f>
        <v>1</v>
      </c>
      <c r="X236" s="15">
        <f>__Anonymous_Sheet_DB__0[[#This Row],[Date / Time]]</f>
        <v>0</v>
      </c>
      <c r="Y236" s="4">
        <f t="shared" si="25"/>
        <v>1900</v>
      </c>
      <c r="Z236" s="4">
        <f t="shared" si="26"/>
        <v>0</v>
      </c>
    </row>
    <row r="237" spans="23:26">
      <c r="W237" s="4">
        <f>MONTH(__Anonymous_Sheet_DB__0[[#This Row],[Date / Time]])</f>
        <v>1</v>
      </c>
      <c r="X237" s="15">
        <f>__Anonymous_Sheet_DB__0[[#This Row],[Date / Time]]</f>
        <v>0</v>
      </c>
      <c r="Y237" s="4">
        <f t="shared" si="25"/>
        <v>1900</v>
      </c>
      <c r="Z237" s="4">
        <f t="shared" si="26"/>
        <v>0</v>
      </c>
    </row>
    <row r="238" spans="23:26">
      <c r="W238" s="4">
        <f>MONTH(__Anonymous_Sheet_DB__0[[#This Row],[Date / Time]])</f>
        <v>1</v>
      </c>
      <c r="X238" s="15">
        <f>__Anonymous_Sheet_DB__0[[#This Row],[Date / Time]]</f>
        <v>0</v>
      </c>
      <c r="Y238" s="4">
        <f t="shared" si="25"/>
        <v>1900</v>
      </c>
      <c r="Z238" s="4">
        <f t="shared" si="26"/>
        <v>0</v>
      </c>
    </row>
    <row r="239" spans="23:26">
      <c r="W239" s="4">
        <f>MONTH(__Anonymous_Sheet_DB__0[[#This Row],[Date / Time]])</f>
        <v>1</v>
      </c>
      <c r="X239" s="15">
        <f>__Anonymous_Sheet_DB__0[[#This Row],[Date / Time]]</f>
        <v>0</v>
      </c>
      <c r="Y239" s="4">
        <f t="shared" si="25"/>
        <v>1900</v>
      </c>
      <c r="Z239" s="4">
        <f t="shared" si="26"/>
        <v>0</v>
      </c>
    </row>
    <row r="240" spans="23:26">
      <c r="W240" s="4">
        <f>MONTH(__Anonymous_Sheet_DB__0[[#This Row],[Date / Time]])</f>
        <v>1</v>
      </c>
      <c r="X240" s="15">
        <f>__Anonymous_Sheet_DB__0[[#This Row],[Date / Time]]</f>
        <v>0</v>
      </c>
      <c r="Y240" s="4">
        <f t="shared" si="25"/>
        <v>1900</v>
      </c>
      <c r="Z240" s="4">
        <f t="shared" si="26"/>
        <v>0</v>
      </c>
    </row>
    <row r="241" spans="23:26">
      <c r="W241" s="4">
        <f>MONTH(__Anonymous_Sheet_DB__0[[#This Row],[Date / Time]])</f>
        <v>1</v>
      </c>
      <c r="X241" s="15">
        <f>__Anonymous_Sheet_DB__0[[#This Row],[Date / Time]]</f>
        <v>0</v>
      </c>
      <c r="Y241" s="4">
        <f t="shared" si="25"/>
        <v>1900</v>
      </c>
      <c r="Z241" s="4">
        <f t="shared" si="26"/>
        <v>0</v>
      </c>
    </row>
    <row r="242" spans="23:26">
      <c r="W242" s="4">
        <f>MONTH(__Anonymous_Sheet_DB__0[[#This Row],[Date / Time]])</f>
        <v>1</v>
      </c>
      <c r="X242" s="15">
        <f>__Anonymous_Sheet_DB__0[[#This Row],[Date / Time]]</f>
        <v>0</v>
      </c>
      <c r="Y242" s="4">
        <f t="shared" si="25"/>
        <v>1900</v>
      </c>
      <c r="Z242" s="4">
        <f t="shared" si="26"/>
        <v>0</v>
      </c>
    </row>
    <row r="243" spans="23:26">
      <c r="W243" s="4">
        <f>MONTH(__Anonymous_Sheet_DB__0[[#This Row],[Date / Time]])</f>
        <v>1</v>
      </c>
      <c r="X243" s="15">
        <f>__Anonymous_Sheet_DB__0[[#This Row],[Date / Time]]</f>
        <v>0</v>
      </c>
      <c r="Y243" s="4">
        <f t="shared" si="25"/>
        <v>1900</v>
      </c>
      <c r="Z243" s="4">
        <f t="shared" si="26"/>
        <v>0</v>
      </c>
    </row>
    <row r="244" spans="23:26">
      <c r="W244" s="4">
        <f>MONTH(__Anonymous_Sheet_DB__0[[#This Row],[Date / Time]])</f>
        <v>1</v>
      </c>
      <c r="X244" s="15">
        <f>__Anonymous_Sheet_DB__0[[#This Row],[Date / Time]]</f>
        <v>0</v>
      </c>
      <c r="Y244" s="4">
        <f t="shared" si="25"/>
        <v>1900</v>
      </c>
      <c r="Z244" s="4">
        <f t="shared" si="26"/>
        <v>0</v>
      </c>
    </row>
    <row r="245" spans="23:26">
      <c r="W245" s="4">
        <f>MONTH(__Anonymous_Sheet_DB__0[[#This Row],[Date / Time]])</f>
        <v>1</v>
      </c>
      <c r="X245" s="15">
        <f>__Anonymous_Sheet_DB__0[[#This Row],[Date / Time]]</f>
        <v>0</v>
      </c>
      <c r="Y245" s="4">
        <f t="shared" si="25"/>
        <v>1900</v>
      </c>
      <c r="Z245" s="4">
        <f t="shared" si="26"/>
        <v>0</v>
      </c>
    </row>
    <row r="246" spans="23:26">
      <c r="W246" s="4">
        <f>MONTH(__Anonymous_Sheet_DB__0[[#This Row],[Date / Time]])</f>
        <v>1</v>
      </c>
      <c r="X246" s="15">
        <f>__Anonymous_Sheet_DB__0[[#This Row],[Date / Time]]</f>
        <v>0</v>
      </c>
      <c r="Y246" s="4">
        <f t="shared" si="25"/>
        <v>1900</v>
      </c>
      <c r="Z246" s="4">
        <f t="shared" si="26"/>
        <v>0</v>
      </c>
    </row>
    <row r="247" spans="23:26">
      <c r="W247" s="4">
        <f>MONTH(__Anonymous_Sheet_DB__0[[#This Row],[Date / Time]])</f>
        <v>1</v>
      </c>
      <c r="X247" s="15">
        <f>__Anonymous_Sheet_DB__0[[#This Row],[Date / Time]]</f>
        <v>0</v>
      </c>
      <c r="Y247" s="4">
        <f t="shared" si="25"/>
        <v>1900</v>
      </c>
      <c r="Z247" s="4">
        <f t="shared" si="26"/>
        <v>0</v>
      </c>
    </row>
    <row r="248" spans="23:26">
      <c r="W248" s="4">
        <f>MONTH(__Anonymous_Sheet_DB__0[[#This Row],[Date / Time]])</f>
        <v>1</v>
      </c>
      <c r="X248" s="15">
        <f>__Anonymous_Sheet_DB__0[[#This Row],[Date / Time]]</f>
        <v>0</v>
      </c>
      <c r="Y248" s="4">
        <f t="shared" si="25"/>
        <v>1900</v>
      </c>
      <c r="Z248" s="4">
        <f t="shared" si="26"/>
        <v>0</v>
      </c>
    </row>
    <row r="249" spans="23:26">
      <c r="W249" s="4">
        <f>MONTH(__Anonymous_Sheet_DB__0[[#This Row],[Date / Time]])</f>
        <v>1</v>
      </c>
      <c r="X249" s="15">
        <f>__Anonymous_Sheet_DB__0[[#This Row],[Date / Time]]</f>
        <v>0</v>
      </c>
      <c r="Y249" s="4">
        <f t="shared" si="25"/>
        <v>1900</v>
      </c>
      <c r="Z249" s="4">
        <f t="shared" si="26"/>
        <v>0</v>
      </c>
    </row>
    <row r="250" spans="23:26">
      <c r="W250" s="4">
        <f>MONTH(__Anonymous_Sheet_DB__0[[#This Row],[Date / Time]])</f>
        <v>1</v>
      </c>
      <c r="X250" s="15">
        <f>__Anonymous_Sheet_DB__0[[#This Row],[Date / Time]]</f>
        <v>0</v>
      </c>
      <c r="Y250" s="4">
        <f t="shared" si="25"/>
        <v>1900</v>
      </c>
      <c r="Z250" s="4">
        <f t="shared" si="26"/>
        <v>0</v>
      </c>
    </row>
    <row r="251" spans="23:26">
      <c r="W251" s="4">
        <f>MONTH(__Anonymous_Sheet_DB__0[[#This Row],[Date / Time]])</f>
        <v>1</v>
      </c>
      <c r="X251" s="15">
        <f>__Anonymous_Sheet_DB__0[[#This Row],[Date / Time]]</f>
        <v>0</v>
      </c>
      <c r="Y251" s="4">
        <f t="shared" si="25"/>
        <v>1900</v>
      </c>
      <c r="Z251" s="4">
        <f t="shared" si="26"/>
        <v>0</v>
      </c>
    </row>
    <row r="252" spans="23:26">
      <c r="W252" s="4">
        <f>MONTH(__Anonymous_Sheet_DB__0[[#This Row],[Date / Time]])</f>
        <v>1</v>
      </c>
      <c r="X252" s="15">
        <f>__Anonymous_Sheet_DB__0[[#This Row],[Date / Time]]</f>
        <v>0</v>
      </c>
      <c r="Y252" s="4">
        <f t="shared" si="25"/>
        <v>1900</v>
      </c>
      <c r="Z252" s="4">
        <f t="shared" si="26"/>
        <v>0</v>
      </c>
    </row>
    <row r="253" spans="23:26">
      <c r="W253" s="4">
        <f>MONTH(__Anonymous_Sheet_DB__0[[#This Row],[Date / Time]])</f>
        <v>1</v>
      </c>
      <c r="X253" s="15">
        <f>__Anonymous_Sheet_DB__0[[#This Row],[Date / Time]]</f>
        <v>0</v>
      </c>
      <c r="Y253" s="4">
        <f t="shared" si="25"/>
        <v>1900</v>
      </c>
      <c r="Z253" s="4">
        <f t="shared" si="26"/>
        <v>0</v>
      </c>
    </row>
    <row r="254" spans="23:26">
      <c r="W254" s="4">
        <f>MONTH(__Anonymous_Sheet_DB__0[[#This Row],[Date / Time]])</f>
        <v>1</v>
      </c>
      <c r="X254" s="15">
        <f>__Anonymous_Sheet_DB__0[[#This Row],[Date / Time]]</f>
        <v>0</v>
      </c>
      <c r="Y254" s="4">
        <f t="shared" si="25"/>
        <v>1900</v>
      </c>
      <c r="Z254" s="4">
        <f t="shared" si="26"/>
        <v>0</v>
      </c>
    </row>
    <row r="255" spans="23:26">
      <c r="W255" s="4">
        <f>MONTH(__Anonymous_Sheet_DB__0[[#This Row],[Date / Time]])</f>
        <v>1</v>
      </c>
      <c r="X255" s="15">
        <f>__Anonymous_Sheet_DB__0[[#This Row],[Date / Time]]</f>
        <v>0</v>
      </c>
      <c r="Y255" s="4">
        <f t="shared" si="25"/>
        <v>1900</v>
      </c>
      <c r="Z255" s="4">
        <f t="shared" si="26"/>
        <v>0</v>
      </c>
    </row>
    <row r="256" spans="23:26">
      <c r="W256" s="4">
        <f>MONTH(__Anonymous_Sheet_DB__0[[#This Row],[Date / Time]])</f>
        <v>1</v>
      </c>
      <c r="X256" s="15">
        <f>__Anonymous_Sheet_DB__0[[#This Row],[Date / Time]]</f>
        <v>0</v>
      </c>
      <c r="Y256" s="4">
        <f t="shared" si="25"/>
        <v>1900</v>
      </c>
      <c r="Z256" s="4">
        <f t="shared" si="26"/>
        <v>0</v>
      </c>
    </row>
    <row r="257" spans="2:26">
      <c r="W257" s="4">
        <f>MONTH(__Anonymous_Sheet_DB__0[[#This Row],[Date / Time]])</f>
        <v>1</v>
      </c>
      <c r="X257" s="15">
        <f>__Anonymous_Sheet_DB__0[[#This Row],[Date / Time]]</f>
        <v>0</v>
      </c>
      <c r="Y257" s="4">
        <f t="shared" si="25"/>
        <v>1900</v>
      </c>
      <c r="Z257" s="4">
        <f t="shared" si="26"/>
        <v>0</v>
      </c>
    </row>
    <row r="258" spans="2:26">
      <c r="B258" s="10"/>
    </row>
    <row r="757" spans="27:1025"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/>
      <c r="BG757" s="14"/>
      <c r="BH757" s="14"/>
      <c r="BI757" s="14"/>
      <c r="BJ757" s="14"/>
      <c r="BK757" s="14"/>
      <c r="BL757" s="14"/>
      <c r="BM757" s="14"/>
      <c r="BN757" s="14"/>
      <c r="BO757" s="14"/>
      <c r="BP757" s="14"/>
      <c r="BQ757" s="14"/>
      <c r="BR757" s="14"/>
      <c r="BS757" s="14"/>
      <c r="BT757" s="14"/>
      <c r="BU757" s="14"/>
      <c r="BV757" s="14"/>
      <c r="BW757" s="14"/>
      <c r="BX757" s="14"/>
      <c r="BY757" s="14"/>
      <c r="BZ757" s="14"/>
      <c r="CA757" s="14"/>
      <c r="CB757" s="14"/>
      <c r="CC757" s="14"/>
      <c r="CD757" s="14"/>
      <c r="CE757" s="14"/>
      <c r="CF757" s="14"/>
      <c r="CG757" s="14"/>
      <c r="CH757" s="14"/>
      <c r="CI757" s="14"/>
      <c r="CJ757" s="14"/>
      <c r="CK757" s="14"/>
      <c r="CL757" s="14"/>
      <c r="CM757" s="14"/>
      <c r="CN757" s="14"/>
      <c r="CO757" s="14"/>
      <c r="CP757" s="14"/>
      <c r="CQ757" s="14"/>
      <c r="CR757" s="14"/>
      <c r="CS757" s="14"/>
      <c r="CT757" s="14"/>
      <c r="CU757" s="14"/>
      <c r="CV757" s="14"/>
      <c r="CW757" s="14"/>
      <c r="CX757" s="14"/>
      <c r="CY757" s="14"/>
      <c r="CZ757" s="14"/>
      <c r="DA757" s="14"/>
      <c r="DB757" s="14"/>
      <c r="DC757" s="14"/>
      <c r="DD757" s="14"/>
      <c r="DE757" s="14"/>
      <c r="DF757" s="14"/>
      <c r="DG757" s="14"/>
      <c r="DH757" s="14"/>
      <c r="DI757" s="14"/>
      <c r="DJ757" s="14"/>
      <c r="DK757" s="14"/>
      <c r="DL757" s="14"/>
      <c r="DM757" s="14"/>
      <c r="DN757" s="14"/>
      <c r="DO757" s="14"/>
      <c r="DP757" s="14"/>
      <c r="DQ757" s="14"/>
      <c r="DR757" s="14"/>
      <c r="DS757" s="14"/>
      <c r="DT757" s="14"/>
      <c r="DU757" s="14"/>
      <c r="DV757" s="14"/>
      <c r="DW757" s="14"/>
      <c r="DX757" s="14"/>
      <c r="DY757" s="14"/>
      <c r="DZ757" s="14"/>
      <c r="EA757" s="14"/>
      <c r="EB757" s="14"/>
      <c r="EC757" s="14"/>
      <c r="ED757" s="14"/>
      <c r="EE757" s="14"/>
      <c r="EF757" s="14"/>
      <c r="EG757" s="14"/>
      <c r="EH757" s="14"/>
      <c r="EI757" s="14"/>
      <c r="EJ757" s="14"/>
      <c r="EK757" s="14"/>
      <c r="EL757" s="14"/>
      <c r="EM757" s="14"/>
      <c r="EN757" s="14"/>
      <c r="EO757" s="14"/>
      <c r="EP757" s="14"/>
      <c r="EQ757" s="14"/>
      <c r="ER757" s="14"/>
      <c r="ES757" s="14"/>
      <c r="ET757" s="14"/>
      <c r="EU757" s="14"/>
      <c r="EV757" s="14"/>
      <c r="EW757" s="14"/>
      <c r="EX757" s="14"/>
      <c r="EY757" s="14"/>
      <c r="EZ757" s="14"/>
      <c r="FA757" s="14"/>
      <c r="FB757" s="14"/>
      <c r="FC757" s="14"/>
      <c r="FD757" s="14"/>
      <c r="FE757" s="14"/>
      <c r="FF757" s="14"/>
      <c r="FG757" s="14"/>
      <c r="FH757" s="14"/>
      <c r="FI757" s="14"/>
      <c r="FJ757" s="14"/>
      <c r="FK757" s="14"/>
      <c r="FL757" s="14"/>
      <c r="FM757" s="14"/>
      <c r="FN757" s="14"/>
      <c r="FO757" s="14"/>
      <c r="FP757" s="14"/>
      <c r="FQ757" s="14"/>
      <c r="FR757" s="14"/>
      <c r="FS757" s="14"/>
      <c r="FT757" s="14"/>
      <c r="FU757" s="14"/>
      <c r="FV757" s="14"/>
      <c r="FW757" s="14"/>
      <c r="FX757" s="14"/>
      <c r="FY757" s="14"/>
      <c r="FZ757" s="14"/>
      <c r="GA757" s="14"/>
      <c r="GB757" s="14"/>
      <c r="GC757" s="14"/>
      <c r="GD757" s="14"/>
      <c r="GE757" s="14"/>
      <c r="GF757" s="14"/>
      <c r="GG757" s="14"/>
      <c r="GH757" s="14"/>
      <c r="GI757" s="14"/>
      <c r="GJ757" s="14"/>
      <c r="GK757" s="14"/>
      <c r="GL757" s="14"/>
      <c r="GM757" s="14"/>
      <c r="GN757" s="14"/>
      <c r="GO757" s="14"/>
      <c r="GP757" s="14"/>
      <c r="GQ757" s="14"/>
      <c r="GR757" s="14"/>
      <c r="GS757" s="14"/>
      <c r="GT757" s="14"/>
      <c r="GU757" s="14"/>
      <c r="GV757" s="14"/>
      <c r="GW757" s="14"/>
      <c r="GX757" s="14"/>
      <c r="GY757" s="14"/>
      <c r="GZ757" s="14"/>
      <c r="HA757" s="14"/>
      <c r="HB757" s="14"/>
      <c r="HC757" s="14"/>
      <c r="HD757" s="14"/>
      <c r="HE757" s="14"/>
      <c r="HF757" s="14"/>
      <c r="HG757" s="14"/>
      <c r="HH757" s="14"/>
      <c r="HI757" s="14"/>
      <c r="HJ757" s="14"/>
      <c r="HK757" s="14"/>
      <c r="HL757" s="14"/>
      <c r="HM757" s="14"/>
      <c r="HN757" s="14"/>
      <c r="HO757" s="14"/>
      <c r="HP757" s="14"/>
      <c r="HQ757" s="14"/>
      <c r="HR757" s="14"/>
      <c r="HS757" s="14"/>
      <c r="HT757" s="14"/>
      <c r="HU757" s="14"/>
      <c r="HV757" s="14"/>
      <c r="HW757" s="14"/>
      <c r="HX757" s="14"/>
      <c r="HY757" s="14"/>
      <c r="HZ757" s="14"/>
      <c r="IA757" s="14"/>
      <c r="IB757" s="14"/>
      <c r="IC757" s="14"/>
      <c r="ID757" s="14"/>
      <c r="IE757" s="14"/>
      <c r="IF757" s="14"/>
      <c r="IG757" s="14"/>
      <c r="IH757" s="14"/>
      <c r="II757" s="14"/>
      <c r="IJ757" s="14"/>
      <c r="IK757" s="14"/>
      <c r="IL757" s="14"/>
      <c r="IM757" s="14"/>
      <c r="IN757" s="14"/>
      <c r="IO757" s="14"/>
      <c r="IP757" s="14"/>
      <c r="IQ757" s="14"/>
      <c r="IR757" s="14"/>
      <c r="IS757" s="14"/>
      <c r="IT757" s="14"/>
      <c r="IU757" s="14"/>
      <c r="IV757" s="14"/>
      <c r="IW757" s="14"/>
      <c r="IX757" s="14"/>
      <c r="IY757" s="14"/>
      <c r="IZ757" s="14"/>
      <c r="JA757" s="14"/>
      <c r="JB757" s="14"/>
      <c r="JC757" s="14"/>
      <c r="JD757" s="14"/>
      <c r="JE757" s="14"/>
      <c r="JF757" s="14"/>
      <c r="JG757" s="14"/>
      <c r="JH757" s="14"/>
      <c r="JI757" s="14"/>
      <c r="JJ757" s="14"/>
      <c r="JK757" s="14"/>
      <c r="JL757" s="14"/>
      <c r="JM757" s="14"/>
      <c r="JN757" s="14"/>
      <c r="JO757" s="14"/>
      <c r="JP757" s="14"/>
      <c r="JQ757" s="14"/>
      <c r="JR757" s="14"/>
      <c r="JS757" s="14"/>
      <c r="JT757" s="14"/>
      <c r="JU757" s="14"/>
      <c r="JV757" s="14"/>
      <c r="JW757" s="14"/>
      <c r="JX757" s="14"/>
      <c r="JY757" s="14"/>
      <c r="JZ757" s="14"/>
      <c r="KA757" s="14"/>
      <c r="KB757" s="14"/>
      <c r="KC757" s="14"/>
      <c r="KD757" s="14"/>
      <c r="KE757" s="14"/>
      <c r="KF757" s="14"/>
      <c r="KG757" s="14"/>
      <c r="KH757" s="14"/>
      <c r="KI757" s="14"/>
      <c r="KJ757" s="14"/>
      <c r="KK757" s="14"/>
      <c r="KL757" s="14"/>
      <c r="KM757" s="14"/>
      <c r="KN757" s="14"/>
      <c r="KO757" s="14"/>
      <c r="KP757" s="14"/>
      <c r="KQ757" s="14"/>
      <c r="KR757" s="14"/>
      <c r="KS757" s="14"/>
      <c r="KT757" s="14"/>
      <c r="KU757" s="14"/>
      <c r="KV757" s="14"/>
      <c r="KW757" s="14"/>
      <c r="KX757" s="14"/>
      <c r="KY757" s="14"/>
      <c r="KZ757" s="14"/>
      <c r="LA757" s="14"/>
      <c r="LB757" s="14"/>
      <c r="LC757" s="14"/>
      <c r="LD757" s="14"/>
      <c r="LE757" s="14"/>
      <c r="LF757" s="14"/>
      <c r="LG757" s="14"/>
      <c r="LH757" s="14"/>
      <c r="LI757" s="14"/>
      <c r="LJ757" s="14"/>
      <c r="LK757" s="14"/>
      <c r="LL757" s="14"/>
      <c r="LM757" s="14"/>
      <c r="LN757" s="14"/>
      <c r="LO757" s="14"/>
      <c r="LP757" s="14"/>
      <c r="LQ757" s="14"/>
      <c r="LR757" s="14"/>
      <c r="LS757" s="14"/>
      <c r="LT757" s="14"/>
      <c r="LU757" s="14"/>
      <c r="LV757" s="14"/>
      <c r="LW757" s="14"/>
      <c r="LX757" s="14"/>
      <c r="LY757" s="14"/>
      <c r="LZ757" s="14"/>
      <c r="MA757" s="14"/>
      <c r="MB757" s="14"/>
      <c r="MC757" s="14"/>
      <c r="MD757" s="14"/>
      <c r="ME757" s="14"/>
      <c r="MF757" s="14"/>
      <c r="MG757" s="14"/>
      <c r="MH757" s="14"/>
      <c r="MI757" s="14"/>
      <c r="MJ757" s="14"/>
      <c r="MK757" s="14"/>
      <c r="ML757" s="14"/>
      <c r="MM757" s="14"/>
      <c r="MN757" s="14"/>
      <c r="MO757" s="14"/>
      <c r="MP757" s="14"/>
      <c r="MQ757" s="14"/>
      <c r="MR757" s="14"/>
      <c r="MS757" s="14"/>
      <c r="MT757" s="14"/>
      <c r="MU757" s="14"/>
      <c r="MV757" s="14"/>
      <c r="MW757" s="14"/>
      <c r="MX757" s="14"/>
      <c r="MY757" s="14"/>
      <c r="MZ757" s="14"/>
      <c r="NA757" s="14"/>
      <c r="NB757" s="14"/>
      <c r="NC757" s="14"/>
      <c r="ND757" s="14"/>
      <c r="NE757" s="14"/>
      <c r="NF757" s="14"/>
      <c r="NG757" s="14"/>
      <c r="NH757" s="14"/>
      <c r="NI757" s="14"/>
      <c r="NJ757" s="14"/>
      <c r="NK757" s="14"/>
      <c r="NL757" s="14"/>
      <c r="NM757" s="14"/>
      <c r="NN757" s="14"/>
      <c r="NO757" s="14"/>
      <c r="NP757" s="14"/>
      <c r="NQ757" s="14"/>
      <c r="NR757" s="14"/>
      <c r="NS757" s="14"/>
      <c r="NT757" s="14"/>
      <c r="NU757" s="14"/>
      <c r="NV757" s="14"/>
      <c r="NW757" s="14"/>
      <c r="NX757" s="14"/>
      <c r="NY757" s="14"/>
      <c r="NZ757" s="14"/>
      <c r="OA757" s="14"/>
      <c r="OB757" s="14"/>
      <c r="OC757" s="14"/>
      <c r="OD757" s="14"/>
      <c r="OE757" s="14"/>
      <c r="OF757" s="14"/>
      <c r="OG757" s="14"/>
      <c r="OH757" s="14"/>
      <c r="OI757" s="14"/>
      <c r="OJ757" s="14"/>
      <c r="OK757" s="14"/>
      <c r="OL757" s="14"/>
      <c r="OM757" s="14"/>
      <c r="ON757" s="14"/>
      <c r="OO757" s="14"/>
      <c r="OP757" s="14"/>
      <c r="OQ757" s="14"/>
      <c r="OR757" s="14"/>
      <c r="OS757" s="14"/>
      <c r="OT757" s="14"/>
      <c r="OU757" s="14"/>
      <c r="OV757" s="14"/>
      <c r="OW757" s="14"/>
      <c r="OX757" s="14"/>
      <c r="OY757" s="14"/>
      <c r="OZ757" s="14"/>
      <c r="PA757" s="14"/>
      <c r="PB757" s="14"/>
      <c r="PC757" s="14"/>
      <c r="PD757" s="14"/>
      <c r="PE757" s="14"/>
      <c r="PF757" s="14"/>
      <c r="PG757" s="14"/>
      <c r="PH757" s="14"/>
      <c r="PI757" s="14"/>
      <c r="PJ757" s="14"/>
      <c r="PK757" s="14"/>
      <c r="PL757" s="14"/>
      <c r="PM757" s="14"/>
      <c r="PN757" s="14"/>
      <c r="PO757" s="14"/>
      <c r="PP757" s="14"/>
      <c r="PQ757" s="14"/>
      <c r="PR757" s="14"/>
      <c r="PS757" s="14"/>
      <c r="PT757" s="14"/>
      <c r="PU757" s="14"/>
      <c r="PV757" s="14"/>
      <c r="PW757" s="14"/>
      <c r="PX757" s="14"/>
      <c r="PY757" s="14"/>
      <c r="PZ757" s="14"/>
      <c r="QA757" s="14"/>
      <c r="QB757" s="14"/>
      <c r="QC757" s="14"/>
      <c r="QD757" s="14"/>
      <c r="QE757" s="14"/>
      <c r="QF757" s="14"/>
      <c r="QG757" s="14"/>
      <c r="QH757" s="14"/>
      <c r="QI757" s="14"/>
      <c r="QJ757" s="14"/>
      <c r="QK757" s="14"/>
      <c r="QL757" s="14"/>
      <c r="QM757" s="14"/>
      <c r="QN757" s="14"/>
      <c r="QO757" s="14"/>
      <c r="QP757" s="14"/>
      <c r="QQ757" s="14"/>
      <c r="QR757" s="14"/>
      <c r="QS757" s="14"/>
      <c r="QT757" s="14"/>
      <c r="QU757" s="14"/>
      <c r="QV757" s="14"/>
      <c r="QW757" s="14"/>
      <c r="QX757" s="14"/>
      <c r="QY757" s="14"/>
      <c r="QZ757" s="14"/>
      <c r="RA757" s="14"/>
      <c r="RB757" s="14"/>
      <c r="RC757" s="14"/>
      <c r="RD757" s="14"/>
      <c r="RE757" s="14"/>
      <c r="RF757" s="14"/>
      <c r="RG757" s="14"/>
      <c r="RH757" s="14"/>
      <c r="RI757" s="14"/>
      <c r="RJ757" s="14"/>
      <c r="RK757" s="14"/>
      <c r="RL757" s="14"/>
      <c r="RM757" s="14"/>
      <c r="RN757" s="14"/>
      <c r="RO757" s="14"/>
      <c r="RP757" s="14"/>
      <c r="RQ757" s="14"/>
      <c r="RR757" s="14"/>
      <c r="RS757" s="14"/>
      <c r="RT757" s="14"/>
      <c r="RU757" s="14"/>
      <c r="RV757" s="14"/>
      <c r="RW757" s="14"/>
      <c r="RX757" s="14"/>
      <c r="RY757" s="14"/>
      <c r="RZ757" s="14"/>
      <c r="SA757" s="14"/>
      <c r="SB757" s="14"/>
      <c r="SC757" s="14"/>
      <c r="SD757" s="14"/>
      <c r="SE757" s="14"/>
      <c r="SF757" s="14"/>
      <c r="SG757" s="14"/>
      <c r="SH757" s="14"/>
      <c r="SI757" s="14"/>
      <c r="SJ757" s="14"/>
      <c r="SK757" s="14"/>
      <c r="SL757" s="14"/>
      <c r="SM757" s="14"/>
      <c r="SN757" s="14"/>
      <c r="SO757" s="14"/>
      <c r="SP757" s="14"/>
      <c r="SQ757" s="14"/>
      <c r="SR757" s="14"/>
      <c r="SS757" s="14"/>
      <c r="ST757" s="14"/>
      <c r="SU757" s="14"/>
      <c r="SV757" s="14"/>
      <c r="SW757" s="14"/>
      <c r="SX757" s="14"/>
      <c r="SY757" s="14"/>
      <c r="SZ757" s="14"/>
      <c r="TA757" s="14"/>
      <c r="TB757" s="14"/>
      <c r="TC757" s="14"/>
      <c r="TD757" s="14"/>
      <c r="TE757" s="14"/>
      <c r="TF757" s="14"/>
      <c r="TG757" s="14"/>
      <c r="TH757" s="14"/>
      <c r="TI757" s="14"/>
      <c r="TJ757" s="14"/>
      <c r="TK757" s="14"/>
      <c r="TL757" s="14"/>
      <c r="TM757" s="14"/>
      <c r="TN757" s="14"/>
      <c r="TO757" s="14"/>
      <c r="TP757" s="14"/>
      <c r="TQ757" s="14"/>
      <c r="TR757" s="14"/>
      <c r="TS757" s="14"/>
      <c r="TT757" s="14"/>
      <c r="TU757" s="14"/>
      <c r="TV757" s="14"/>
      <c r="TW757" s="14"/>
      <c r="TX757" s="14"/>
      <c r="TY757" s="14"/>
      <c r="TZ757" s="14"/>
      <c r="UA757" s="14"/>
      <c r="UB757" s="14"/>
      <c r="UC757" s="14"/>
      <c r="UD757" s="14"/>
      <c r="UE757" s="14"/>
      <c r="UF757" s="14"/>
      <c r="UG757" s="14"/>
      <c r="UH757" s="14"/>
      <c r="UI757" s="14"/>
      <c r="UJ757" s="14"/>
      <c r="UK757" s="14"/>
      <c r="UL757" s="14"/>
      <c r="UM757" s="14"/>
      <c r="UN757" s="14"/>
      <c r="UO757" s="14"/>
      <c r="UP757" s="14"/>
      <c r="UQ757" s="14"/>
      <c r="UR757" s="14"/>
      <c r="US757" s="14"/>
      <c r="UT757" s="14"/>
      <c r="UU757" s="14"/>
      <c r="UV757" s="14"/>
      <c r="UW757" s="14"/>
      <c r="UX757" s="14"/>
      <c r="UY757" s="14"/>
      <c r="UZ757" s="14"/>
      <c r="VA757" s="14"/>
      <c r="VB757" s="14"/>
      <c r="VC757" s="14"/>
      <c r="VD757" s="14"/>
      <c r="VE757" s="14"/>
      <c r="VF757" s="14"/>
      <c r="VG757" s="14"/>
      <c r="VH757" s="14"/>
      <c r="VI757" s="14"/>
      <c r="VJ757" s="14"/>
      <c r="VK757" s="14"/>
      <c r="VL757" s="14"/>
      <c r="VM757" s="14"/>
      <c r="VN757" s="14"/>
      <c r="VO757" s="14"/>
      <c r="VP757" s="14"/>
      <c r="VQ757" s="14"/>
      <c r="VR757" s="14"/>
      <c r="VS757" s="14"/>
      <c r="VT757" s="14"/>
      <c r="VU757" s="14"/>
      <c r="VV757" s="14"/>
      <c r="VW757" s="14"/>
      <c r="VX757" s="14"/>
      <c r="VY757" s="14"/>
      <c r="VZ757" s="14"/>
      <c r="WA757" s="14"/>
      <c r="WB757" s="14"/>
      <c r="WC757" s="14"/>
      <c r="WD757" s="14"/>
      <c r="WE757" s="14"/>
      <c r="WF757" s="14"/>
      <c r="WG757" s="14"/>
      <c r="WH757" s="14"/>
      <c r="WI757" s="14"/>
      <c r="WJ757" s="14"/>
      <c r="WK757" s="14"/>
      <c r="WL757" s="14"/>
      <c r="WM757" s="14"/>
      <c r="WN757" s="14"/>
      <c r="WO757" s="14"/>
      <c r="WP757" s="14"/>
      <c r="WQ757" s="14"/>
      <c r="WR757" s="14"/>
      <c r="WS757" s="14"/>
      <c r="WT757" s="14"/>
      <c r="WU757" s="14"/>
      <c r="WV757" s="14"/>
      <c r="WW757" s="14"/>
      <c r="WX757" s="14"/>
      <c r="WY757" s="14"/>
      <c r="WZ757" s="14"/>
      <c r="XA757" s="14"/>
      <c r="XB757" s="14"/>
      <c r="XC757" s="14"/>
      <c r="XD757" s="14"/>
      <c r="XE757" s="14"/>
      <c r="XF757" s="14"/>
      <c r="XG757" s="14"/>
      <c r="XH757" s="14"/>
      <c r="XI757" s="14"/>
      <c r="XJ757" s="14"/>
      <c r="XK757" s="14"/>
      <c r="XL757" s="14"/>
      <c r="XM757" s="14"/>
      <c r="XN757" s="14"/>
      <c r="XO757" s="14"/>
      <c r="XP757" s="14"/>
      <c r="XQ757" s="14"/>
      <c r="XR757" s="14"/>
      <c r="XS757" s="14"/>
      <c r="XT757" s="14"/>
      <c r="XU757" s="14"/>
      <c r="XV757" s="14"/>
      <c r="XW757" s="14"/>
      <c r="XX757" s="14"/>
      <c r="XY757" s="14"/>
      <c r="XZ757" s="14"/>
      <c r="YA757" s="14"/>
      <c r="YB757" s="14"/>
      <c r="YC757" s="14"/>
      <c r="YD757" s="14"/>
      <c r="YE757" s="14"/>
      <c r="YF757" s="14"/>
      <c r="YG757" s="14"/>
      <c r="YH757" s="14"/>
      <c r="YI757" s="14"/>
      <c r="YJ757" s="14"/>
      <c r="YK757" s="14"/>
      <c r="YL757" s="14"/>
      <c r="YM757" s="14"/>
      <c r="YN757" s="14"/>
      <c r="YO757" s="14"/>
      <c r="YP757" s="14"/>
      <c r="YQ757" s="14"/>
      <c r="YR757" s="14"/>
      <c r="YS757" s="14"/>
      <c r="YT757" s="14"/>
      <c r="YU757" s="14"/>
      <c r="YV757" s="14"/>
      <c r="YW757" s="14"/>
      <c r="YX757" s="14"/>
      <c r="YY757" s="14"/>
      <c r="YZ757" s="14"/>
      <c r="ZA757" s="14"/>
      <c r="ZB757" s="14"/>
      <c r="ZC757" s="14"/>
      <c r="ZD757" s="14"/>
      <c r="ZE757" s="14"/>
      <c r="ZF757" s="14"/>
      <c r="ZG757" s="14"/>
      <c r="ZH757" s="14"/>
      <c r="ZI757" s="14"/>
      <c r="ZJ757" s="14"/>
      <c r="ZK757" s="14"/>
      <c r="ZL757" s="14"/>
      <c r="ZM757" s="14"/>
      <c r="ZN757" s="14"/>
      <c r="ZO757" s="14"/>
      <c r="ZP757" s="14"/>
      <c r="ZQ757" s="14"/>
      <c r="ZR757" s="14"/>
      <c r="ZS757" s="14"/>
      <c r="ZT757" s="14"/>
      <c r="ZU757" s="14"/>
      <c r="ZV757" s="14"/>
      <c r="ZW757" s="14"/>
      <c r="ZX757" s="14"/>
      <c r="ZY757" s="14"/>
      <c r="ZZ757" s="14"/>
      <c r="AAA757" s="14"/>
      <c r="AAB757" s="14"/>
      <c r="AAC757" s="14"/>
      <c r="AAD757" s="14"/>
      <c r="AAE757" s="14"/>
      <c r="AAF757" s="14"/>
      <c r="AAG757" s="14"/>
      <c r="AAH757" s="14"/>
      <c r="AAI757" s="14"/>
      <c r="AAJ757" s="14"/>
      <c r="AAK757" s="14"/>
      <c r="AAL757" s="14"/>
      <c r="AAM757" s="14"/>
      <c r="AAN757" s="14"/>
      <c r="AAO757" s="14"/>
      <c r="AAP757" s="14"/>
      <c r="AAQ757" s="14"/>
      <c r="AAR757" s="14"/>
      <c r="AAS757" s="14"/>
      <c r="AAT757" s="14"/>
      <c r="AAU757" s="14"/>
      <c r="AAV757" s="14"/>
      <c r="AAW757" s="14"/>
      <c r="AAX757" s="14"/>
      <c r="AAY757" s="14"/>
      <c r="AAZ757" s="14"/>
      <c r="ABA757" s="14"/>
      <c r="ABB757" s="14"/>
      <c r="ABC757" s="14"/>
      <c r="ABD757" s="14"/>
      <c r="ABE757" s="14"/>
      <c r="ABF757" s="14"/>
      <c r="ABG757" s="14"/>
      <c r="ABH757" s="14"/>
      <c r="ABI757" s="14"/>
      <c r="ABJ757" s="14"/>
      <c r="ABK757" s="14"/>
      <c r="ABL757" s="14"/>
      <c r="ABM757" s="14"/>
      <c r="ABN757" s="14"/>
      <c r="ABO757" s="14"/>
      <c r="ABP757" s="14"/>
      <c r="ABQ757" s="14"/>
      <c r="ABR757" s="14"/>
      <c r="ABS757" s="14"/>
      <c r="ABT757" s="14"/>
      <c r="ABU757" s="14"/>
      <c r="ABV757" s="14"/>
      <c r="ABW757" s="14"/>
      <c r="ABX757" s="14"/>
      <c r="ABY757" s="14"/>
      <c r="ABZ757" s="14"/>
      <c r="ACA757" s="14"/>
      <c r="ACB757" s="14"/>
      <c r="ACC757" s="14"/>
      <c r="ACD757" s="14"/>
      <c r="ACE757" s="14"/>
      <c r="ACF757" s="14"/>
      <c r="ACG757" s="14"/>
      <c r="ACH757" s="14"/>
      <c r="ACI757" s="14"/>
      <c r="ACJ757" s="14"/>
      <c r="ACK757" s="14"/>
      <c r="ACL757" s="14"/>
      <c r="ACM757" s="14"/>
      <c r="ACN757" s="14"/>
      <c r="ACO757" s="14"/>
      <c r="ACP757" s="14"/>
      <c r="ACQ757" s="14"/>
      <c r="ACR757" s="14"/>
      <c r="ACS757" s="14"/>
      <c r="ACT757" s="14"/>
      <c r="ACU757" s="14"/>
      <c r="ACV757" s="14"/>
      <c r="ACW757" s="14"/>
      <c r="ACX757" s="14"/>
      <c r="ACY757" s="14"/>
      <c r="ACZ757" s="14"/>
      <c r="ADA757" s="14"/>
      <c r="ADB757" s="14"/>
      <c r="ADC757" s="14"/>
      <c r="ADD757" s="14"/>
      <c r="ADE757" s="14"/>
      <c r="ADF757" s="14"/>
      <c r="ADG757" s="14"/>
      <c r="ADH757" s="14"/>
      <c r="ADI757" s="14"/>
      <c r="ADJ757" s="14"/>
      <c r="ADK757" s="14"/>
      <c r="ADL757" s="14"/>
      <c r="ADM757" s="14"/>
      <c r="ADN757" s="14"/>
      <c r="ADO757" s="14"/>
      <c r="ADP757" s="14"/>
      <c r="ADQ757" s="14"/>
      <c r="ADR757" s="14"/>
      <c r="ADS757" s="14"/>
      <c r="ADT757" s="14"/>
      <c r="ADU757" s="14"/>
      <c r="ADV757" s="14"/>
      <c r="ADW757" s="14"/>
      <c r="ADX757" s="14"/>
      <c r="ADY757" s="14"/>
      <c r="ADZ757" s="14"/>
      <c r="AEA757" s="14"/>
      <c r="AEB757" s="14"/>
      <c r="AEC757" s="14"/>
      <c r="AED757" s="14"/>
      <c r="AEE757" s="14"/>
      <c r="AEF757" s="14"/>
      <c r="AEG757" s="14"/>
      <c r="AEH757" s="14"/>
      <c r="AEI757" s="14"/>
      <c r="AEJ757" s="14"/>
      <c r="AEK757" s="14"/>
      <c r="AEL757" s="14"/>
      <c r="AEM757" s="14"/>
      <c r="AEN757" s="14"/>
      <c r="AEO757" s="14"/>
      <c r="AEP757" s="14"/>
      <c r="AEQ757" s="14"/>
      <c r="AER757" s="14"/>
      <c r="AES757" s="14"/>
      <c r="AET757" s="14"/>
      <c r="AEU757" s="14"/>
      <c r="AEV757" s="14"/>
      <c r="AEW757" s="14"/>
      <c r="AEX757" s="14"/>
      <c r="AEY757" s="14"/>
      <c r="AEZ757" s="14"/>
      <c r="AFA757" s="14"/>
      <c r="AFB757" s="14"/>
      <c r="AFC757" s="14"/>
      <c r="AFD757" s="14"/>
      <c r="AFE757" s="14"/>
      <c r="AFF757" s="14"/>
      <c r="AFG757" s="14"/>
      <c r="AFH757" s="14"/>
      <c r="AFI757" s="14"/>
      <c r="AFJ757" s="14"/>
      <c r="AFK757" s="14"/>
      <c r="AFL757" s="14"/>
      <c r="AFM757" s="14"/>
      <c r="AFN757" s="14"/>
      <c r="AFO757" s="14"/>
      <c r="AFP757" s="14"/>
      <c r="AFQ757" s="14"/>
      <c r="AFR757" s="14"/>
      <c r="AFS757" s="14"/>
      <c r="AFT757" s="14"/>
      <c r="AFU757" s="14"/>
      <c r="AFV757" s="14"/>
      <c r="AFW757" s="14"/>
      <c r="AFX757" s="14"/>
      <c r="AFY757" s="14"/>
      <c r="AFZ757" s="14"/>
      <c r="AGA757" s="14"/>
      <c r="AGB757" s="14"/>
      <c r="AGC757" s="14"/>
      <c r="AGD757" s="14"/>
      <c r="AGE757" s="14"/>
      <c r="AGF757" s="14"/>
      <c r="AGG757" s="14"/>
      <c r="AGH757" s="14"/>
      <c r="AGI757" s="14"/>
      <c r="AGJ757" s="14"/>
      <c r="AGK757" s="14"/>
      <c r="AGL757" s="14"/>
      <c r="AGM757" s="14"/>
      <c r="AGN757" s="14"/>
      <c r="AGO757" s="14"/>
      <c r="AGP757" s="14"/>
      <c r="AGQ757" s="14"/>
      <c r="AGR757" s="14"/>
      <c r="AGS757" s="14"/>
      <c r="AGT757" s="14"/>
      <c r="AGU757" s="14"/>
      <c r="AGV757" s="14"/>
      <c r="AGW757" s="14"/>
      <c r="AGX757" s="14"/>
      <c r="AGY757" s="14"/>
      <c r="AGZ757" s="14"/>
      <c r="AHA757" s="14"/>
      <c r="AHB757" s="14"/>
      <c r="AHC757" s="14"/>
      <c r="AHD757" s="14"/>
      <c r="AHE757" s="14"/>
      <c r="AHF757" s="14"/>
      <c r="AHG757" s="14"/>
      <c r="AHH757" s="14"/>
      <c r="AHI757" s="14"/>
      <c r="AHJ757" s="14"/>
      <c r="AHK757" s="14"/>
      <c r="AHL757" s="14"/>
      <c r="AHM757" s="14"/>
      <c r="AHN757" s="14"/>
      <c r="AHO757" s="14"/>
      <c r="AHP757" s="14"/>
      <c r="AHQ757" s="14"/>
      <c r="AHR757" s="14"/>
      <c r="AHS757" s="14"/>
      <c r="AHT757" s="14"/>
      <c r="AHU757" s="14"/>
      <c r="AHV757" s="14"/>
      <c r="AHW757" s="14"/>
      <c r="AHX757" s="14"/>
      <c r="AHY757" s="14"/>
      <c r="AHZ757" s="14"/>
      <c r="AIA757" s="14"/>
      <c r="AIB757" s="14"/>
      <c r="AIC757" s="14"/>
      <c r="AID757" s="14"/>
      <c r="AIE757" s="14"/>
      <c r="AIF757" s="14"/>
      <c r="AIG757" s="14"/>
      <c r="AIH757" s="14"/>
      <c r="AII757" s="14"/>
      <c r="AIJ757" s="14"/>
      <c r="AIK757" s="14"/>
      <c r="AIL757" s="14"/>
      <c r="AIM757" s="14"/>
      <c r="AIN757" s="14"/>
      <c r="AIO757" s="14"/>
      <c r="AIP757" s="14"/>
      <c r="AIQ757" s="14"/>
      <c r="AIR757" s="14"/>
      <c r="AIS757" s="14"/>
      <c r="AIT757" s="14"/>
      <c r="AIU757" s="14"/>
      <c r="AIV757" s="14"/>
      <c r="AIW757" s="14"/>
      <c r="AIX757" s="14"/>
      <c r="AIY757" s="14"/>
      <c r="AIZ757" s="14"/>
      <c r="AJA757" s="14"/>
      <c r="AJB757" s="14"/>
      <c r="AJC757" s="14"/>
      <c r="AJD757" s="14"/>
      <c r="AJE757" s="14"/>
      <c r="AJF757" s="14"/>
      <c r="AJG757" s="14"/>
      <c r="AJH757" s="14"/>
      <c r="AJI757" s="14"/>
      <c r="AJJ757" s="14"/>
      <c r="AJK757" s="14"/>
      <c r="AJL757" s="14"/>
      <c r="AJM757" s="14"/>
      <c r="AJN757" s="14"/>
      <c r="AJO757" s="14"/>
      <c r="AJP757" s="14"/>
      <c r="AJQ757" s="14"/>
      <c r="AJR757" s="14"/>
      <c r="AJS757" s="14"/>
      <c r="AJT757" s="14"/>
      <c r="AJU757" s="14"/>
      <c r="AJV757" s="14"/>
      <c r="AJW757" s="14"/>
      <c r="AJX757" s="14"/>
      <c r="AJY757" s="14"/>
      <c r="AJZ757" s="14"/>
      <c r="AKA757" s="14"/>
      <c r="AKB757" s="14"/>
      <c r="AKC757" s="14"/>
      <c r="AKD757" s="14"/>
      <c r="AKE757" s="14"/>
      <c r="AKF757" s="14"/>
      <c r="AKG757" s="14"/>
      <c r="AKH757" s="14"/>
      <c r="AKI757" s="14"/>
      <c r="AKJ757" s="14"/>
      <c r="AKK757" s="14"/>
      <c r="AKL757" s="14"/>
      <c r="AKM757" s="14"/>
      <c r="AKN757" s="14"/>
      <c r="AKO757" s="14"/>
      <c r="AKP757" s="14"/>
      <c r="AKQ757" s="14"/>
      <c r="AKR757" s="14"/>
      <c r="AKS757" s="14"/>
      <c r="AKT757" s="14"/>
      <c r="AKU757" s="14"/>
      <c r="AKV757" s="14"/>
      <c r="AKW757" s="14"/>
      <c r="AKX757" s="14"/>
      <c r="AKY757" s="14"/>
      <c r="AKZ757" s="14"/>
      <c r="ALA757" s="14"/>
      <c r="ALB757" s="14"/>
      <c r="ALC757" s="14"/>
      <c r="ALD757" s="14"/>
      <c r="ALE757" s="14"/>
      <c r="ALF757" s="14"/>
      <c r="ALG757" s="14"/>
      <c r="ALH757" s="14"/>
      <c r="ALI757" s="14"/>
      <c r="ALJ757" s="14"/>
      <c r="ALK757" s="14"/>
      <c r="ALL757" s="14"/>
      <c r="ALM757" s="14"/>
      <c r="ALN757" s="14"/>
      <c r="ALO757" s="14"/>
      <c r="ALP757" s="14"/>
      <c r="ALQ757" s="14"/>
      <c r="ALR757" s="14"/>
      <c r="ALS757" s="14"/>
      <c r="ALT757" s="14"/>
      <c r="ALU757" s="14"/>
      <c r="ALV757" s="14"/>
      <c r="ALW757" s="14"/>
      <c r="ALX757" s="14"/>
      <c r="ALY757" s="14"/>
      <c r="ALZ757" s="14"/>
      <c r="AMA757" s="14"/>
      <c r="AMB757" s="14"/>
      <c r="AMC757" s="14"/>
      <c r="AMD757" s="14"/>
      <c r="AME757" s="14"/>
      <c r="AMF757" s="14"/>
      <c r="AMG757" s="14"/>
      <c r="AMH757" s="14"/>
      <c r="AMI757" s="14"/>
      <c r="AMJ757" s="14"/>
      <c r="AMK757" s="14"/>
    </row>
  </sheetData>
  <pageMargins left="0" right="0" top="0" bottom="0" header="0.39374999999999999" footer="0.39374999999999999"/>
  <pageSetup paperSize="9" fitToWidth="0" pageOrder="overThenDown"/>
  <tableParts count="1">
    <tablePart r:id="rId1"/>
  </tableParts>
  <extLst>
    <ext uri="smNativeData">
      <pm:sheetPrefs xmlns:pm="smNativeData" day="159878960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Div_log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Edward</dc:creator>
  <cp:keywords/>
  <dc:description/>
  <cp:lastModifiedBy>Kretsinger-Walters, Aksel</cp:lastModifiedBy>
  <cp:revision>0</cp:revision>
  <cp:lastPrinted>2020-08-28T10:07:42Z</cp:lastPrinted>
  <dcterms:created xsi:type="dcterms:W3CDTF">2011-01-15T20:04:32Z</dcterms:created>
  <dcterms:modified xsi:type="dcterms:W3CDTF">2022-05-31T14:43:51Z</dcterms:modified>
</cp:coreProperties>
</file>